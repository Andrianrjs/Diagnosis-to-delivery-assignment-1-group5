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w to fill i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Upside" sheetId="3" state="visible" r:id="rId3"/>
    <sheet xmlns:r="http://schemas.openxmlformats.org/officeDocument/2006/relationships" name="Decision" sheetId="4" state="visible" r:id="rId4"/>
    <sheet xmlns:r="http://schemas.openxmlformats.org/officeDocument/2006/relationships" name="Build or bu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€#,##0.00;&quot;(€&quot;#,##0.00\);\-"/>
    <numFmt numFmtId="166" formatCode="0.0"/>
    <numFmt numFmtId="167" formatCode="0.0%;\(0.0%\);\-"/>
    <numFmt numFmtId="168" formatCode="\€#,##0;&quot;(€&quot;#,##0\);\-"/>
    <numFmt numFmtId="169" formatCode="#,##0.00;\(#,##0.00\);\-"/>
    <numFmt numFmtId="170" formatCode="\€#,##0.00"/>
    <numFmt numFmtId="171" formatCode="#,##0 &quot;€&quot;"/>
    <numFmt numFmtId="172" formatCode="0.00 &quot;€&quot;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02448"/>
      <sz val="16"/>
    </font>
    <font>
      <name val="Arial"/>
      <charset val="1"/>
      <family val="0"/>
      <b val="1"/>
      <color rgb="FF035CA0"/>
      <sz val="12"/>
    </font>
    <font>
      <name val="Arial"/>
      <charset val="1"/>
      <family val="0"/>
      <color rgb="FF1F2937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02448"/>
      <sz val="11"/>
    </font>
    <font>
      <name val="Arial"/>
      <charset val="1"/>
      <family val="0"/>
      <i val="1"/>
      <color rgb="FF6B7280"/>
      <sz val="11"/>
    </font>
    <font>
      <name val="Arial"/>
      <charset val="1"/>
      <family val="0"/>
      <b val="1"/>
      <color rgb="FF202448"/>
      <sz val="14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35CA0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1"/>
    </font>
    <font>
      <name val="Arial"/>
      <charset val="1"/>
      <family val="0"/>
      <color rgb="FF6B7280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35CA0"/>
      <sz val="10"/>
    </font>
    <font>
      <name val="Arial"/>
      <charset val="1"/>
      <family val="0"/>
      <color rgb="FF0000FF"/>
      <sz val="10"/>
    </font>
    <font>
      <name val="Arial"/>
      <charset val="1"/>
      <family val="2"/>
      <color theme="1"/>
      <sz val="11"/>
    </font>
    <font>
      <name val="Arial"/>
      <charset val="1"/>
      <family val="0"/>
      <b val="1"/>
      <color rgb="FF2EAEE0"/>
      <sz val="11"/>
    </font>
    <font>
      <name val="Arial"/>
      <charset val="1"/>
      <family val="0"/>
      <color rgb="FF202448"/>
      <sz val="11"/>
    </font>
    <font>
      <name val="Arial"/>
      <charset val="1"/>
      <family val="0"/>
      <color rgb="FF6B7280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202448"/>
        <bgColor rgb="FF1F2937"/>
      </patternFill>
    </fill>
    <fill>
      <patternFill patternType="solid">
        <fgColor rgb="FFF5F7FB"/>
        <bgColor rgb="FFFFFFFF"/>
      </patternFill>
    </fill>
    <fill>
      <patternFill patternType="solid">
        <fgColor rgb="FFFFF2CC"/>
        <bgColor rgb="FFF5F7FB"/>
      </patternFill>
    </fill>
    <fill>
      <patternFill patternType="solid">
        <fgColor rgb="FFEAEFF6"/>
        <bgColor rgb="FFF5F7F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5DBE8"/>
      </left>
      <right style="thin">
        <color rgb="FFD5DBE8"/>
      </right>
      <top style="thin">
        <color rgb="FFD5DBE8"/>
      </top>
      <bottom style="thin">
        <color rgb="FFD5DB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12" fillId="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5" fillId="4" borderId="1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164" fontId="9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5" fillId="4" borderId="1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6" fontId="14" fillId="0" borderId="1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167" fontId="15" fillId="4" borderId="1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8" fontId="15" fillId="4" borderId="1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9" fontId="15" fillId="4" borderId="1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69" fontId="14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8" fontId="15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7" fontId="18" fillId="0" borderId="1" applyAlignment="1" pivotButton="0" quotePrefix="0" xfId="0">
      <alignment horizontal="general" vertical="bottom"/>
    </xf>
    <xf numFmtId="164" fontId="18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168" fontId="14" fillId="0" borderId="1" applyAlignment="1" pivotButton="0" quotePrefix="0" xfId="0">
      <alignment horizontal="general" vertical="bottom"/>
    </xf>
    <xf numFmtId="168" fontId="19" fillId="0" borderId="1" applyAlignment="1" pivotButton="0" quotePrefix="0" xfId="0">
      <alignment horizontal="general" vertical="bottom"/>
    </xf>
    <xf numFmtId="167" fontId="14" fillId="0" borderId="1" applyAlignment="1" pivotButton="0" quotePrefix="0" xfId="0">
      <alignment horizontal="general" vertical="bottom"/>
    </xf>
    <xf numFmtId="168" fontId="18" fillId="0" borderId="1" applyAlignment="1" pivotButton="0" quotePrefix="0" xfId="0">
      <alignment horizontal="general" vertical="bottom"/>
    </xf>
    <xf numFmtId="169" fontId="18" fillId="0" borderId="1" applyAlignment="1" pivotButton="0" quotePrefix="0" xfId="0">
      <alignment horizontal="general" vertical="bottom"/>
    </xf>
    <xf numFmtId="168" fontId="20" fillId="5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21" fillId="6" borderId="0" applyAlignment="1" pivotButton="0" quotePrefix="0" xfId="0">
      <alignment horizontal="general" vertical="bottom" wrapText="1"/>
    </xf>
    <xf numFmtId="167" fontId="22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24" fillId="0" borderId="0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 wrapText="1"/>
    </xf>
    <xf numFmtId="9" fontId="15" fillId="4" borderId="0" applyAlignment="1" pivotButton="0" quotePrefix="0" xfId="0">
      <alignment horizontal="center" vertical="top"/>
    </xf>
    <xf numFmtId="0" fontId="15" fillId="4" borderId="0" applyAlignment="1" pivotButton="0" quotePrefix="0" xfId="0">
      <alignment horizontal="center" vertical="top"/>
    </xf>
    <xf numFmtId="0" fontId="23" fillId="4" borderId="0" applyAlignment="1" pivotButton="0" quotePrefix="0" xfId="0">
      <alignment horizontal="general" vertical="top" wrapText="1"/>
    </xf>
    <xf numFmtId="9" fontId="2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170" fontId="15" fillId="4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4" fontId="27" fillId="0" borderId="0" applyAlignment="1" pivotButton="0" quotePrefix="0" xfId="0">
      <alignment horizontal="general" vertical="bottom"/>
    </xf>
    <xf numFmtId="164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12" fillId="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15" fillId="4" borderId="1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164" fontId="9" fillId="0" borderId="0" applyAlignment="1" pivotButton="0" quotePrefix="0" xfId="0">
      <alignment horizontal="general" vertical="bottom"/>
    </xf>
    <xf numFmtId="171" fontId="15" fillId="4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6" fontId="14" fillId="0" borderId="1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9" fontId="15" fillId="4" borderId="1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72" fontId="15" fillId="4" borderId="1" applyAlignment="1" pivotButton="0" quotePrefix="0" xfId="0">
      <alignment horizontal="general" vertical="bottom"/>
    </xf>
    <xf numFmtId="2" fontId="15" fillId="4" borderId="1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69" fontId="14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71" fontId="15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8" fontId="15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7" fontId="18" fillId="0" borderId="1" applyAlignment="1" pivotButton="0" quotePrefix="0" xfId="0">
      <alignment horizontal="general" vertical="bottom"/>
    </xf>
    <xf numFmtId="164" fontId="18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168" fontId="14" fillId="0" borderId="1" applyAlignment="1" pivotButton="0" quotePrefix="0" xfId="0">
      <alignment horizontal="general" vertical="bottom"/>
    </xf>
    <xf numFmtId="168" fontId="19" fillId="0" borderId="1" applyAlignment="1" pivotButton="0" quotePrefix="0" xfId="0">
      <alignment horizontal="general" vertical="bottom"/>
    </xf>
    <xf numFmtId="167" fontId="14" fillId="0" borderId="1" applyAlignment="1" pivotButton="0" quotePrefix="0" xfId="0">
      <alignment horizontal="general" vertical="bottom"/>
    </xf>
    <xf numFmtId="168" fontId="18" fillId="0" borderId="1" applyAlignment="1" pivotButton="0" quotePrefix="0" xfId="0">
      <alignment horizontal="general" vertical="bottom"/>
    </xf>
    <xf numFmtId="169" fontId="18" fillId="0" borderId="1" applyAlignment="1" pivotButton="0" quotePrefix="0" xfId="0">
      <alignment horizontal="general" vertical="bottom"/>
    </xf>
    <xf numFmtId="168" fontId="20" fillId="5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21" fillId="6" borderId="0" applyAlignment="1" pivotButton="0" quotePrefix="0" xfId="0">
      <alignment horizontal="general" vertical="bottom" wrapText="1"/>
    </xf>
    <xf numFmtId="167" fontId="22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24" fillId="0" borderId="0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 wrapText="1"/>
    </xf>
    <xf numFmtId="9" fontId="15" fillId="4" borderId="0" applyAlignment="1" pivotButton="0" quotePrefix="0" xfId="0">
      <alignment horizontal="center" vertical="top"/>
    </xf>
    <xf numFmtId="0" fontId="15" fillId="4" borderId="0" applyAlignment="1" pivotButton="0" quotePrefix="0" xfId="0">
      <alignment horizontal="center" vertical="top"/>
    </xf>
    <xf numFmtId="0" fontId="23" fillId="4" borderId="0" applyAlignment="1" pivotButton="0" quotePrefix="0" xfId="0">
      <alignment horizontal="general" vertical="top" wrapText="1"/>
    </xf>
    <xf numFmtId="9" fontId="2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172" fontId="15" fillId="4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4" fontId="27" fillId="0" borderId="0" applyAlignment="1" pivotButton="0" quotePrefix="0" xfId="0">
      <alignment horizontal="general" vertical="bottom"/>
    </xf>
    <xf numFmtId="164" fontId="2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EFF6"/>
      <rgbColor rgb="FF660066"/>
      <rgbColor rgb="FFFF8080"/>
      <rgbColor rgb="FF035CA0"/>
      <rgbColor rgb="FFD5DB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B"/>
      <rgbColor rgb="FFCCFFCC"/>
      <rgbColor rgb="FFFFFF99"/>
      <rgbColor rgb="FF99CCFF"/>
      <rgbColor rgb="FFFF99CC"/>
      <rgbColor rgb="FFCC99FF"/>
      <rgbColor rgb="FFFFCC99"/>
      <rgbColor rgb="FF3366FF"/>
      <rgbColor rgb="FF2EAEE0"/>
      <rgbColor rgb="FF99CC00"/>
      <rgbColor rgb="FFFFCC00"/>
      <rgbColor rgb="FFFF9900"/>
      <rgbColor rgb="FFFF6600"/>
      <rgbColor rgb="FF6B7280"/>
      <rgbColor rgb="FF969696"/>
      <rgbColor rgb="FF202448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7" min="1" max="1"/>
    <col width="30" customWidth="1" style="67" min="2" max="2"/>
    <col width="26" customWidth="1" style="67" min="3" max="3"/>
    <col width="62" customWidth="1" style="67" min="4" max="5"/>
  </cols>
  <sheetData>
    <row r="1"/>
    <row r="2" ht="24" customHeight="1" s="68">
      <c r="B2" s="69" t="inlineStr">
        <is>
          <t>02_sizing — how to fill it in (Assignment 2)</t>
        </is>
      </c>
    </row>
    <row r="3"/>
    <row r="4" ht="15" customHeight="1" s="68">
      <c r="B4" s="70" t="inlineStr">
        <is>
          <t>WHICH PROJECT IS THIS ABOUT?</t>
        </is>
      </c>
    </row>
    <row r="5" ht="48" customHeight="1" s="68">
      <c r="B5" s="71" t="inlineStr">
        <is>
          <t>Your team's own project: the customer-support agent your team chose for the course (one of the proposals P1–P8 in the project document, or your own idea). One sheet per team, committed as 02_sizing.xlsx in your Git repository. It is NOT about Paylio: Paylio is the fictional company of the in-class exercise; it only appears in column H of the Inputs tab, to show what a filled-in cell looks like.</t>
        </is>
      </c>
    </row>
    <row r="6"/>
    <row r="7" ht="15" customHeight="1" s="68">
      <c r="B7" s="70" t="inlineStr">
        <is>
          <t>WHAT THE SHEET ANSWERS</t>
        </is>
      </c>
    </row>
    <row r="8" ht="48" customHeight="1" s="68">
      <c r="B8" s="71" t="inlineStr">
        <is>
          <t>Is your agent worth building for the company? You get: the net value per year in three scenarios (pessimistic, base, optimistic), an expected value, the comparison with doing nothing and with another project the same team could do, a decision (go / no-go / conditional go), the one assumption that flips the decision, and a build / buy / orchestrate score. Your memo (02_investment_memo.md) explains these numbers in one page.</t>
        </is>
      </c>
    </row>
    <row r="9"/>
    <row r="10" ht="15" customHeight="1" s="68">
      <c r="B10" s="70" t="inlineStr">
        <is>
          <t>WHERE YOUR NUMBERS COME FROM</t>
        </is>
      </c>
    </row>
    <row r="11" ht="48" customHeight="1" s="68">
      <c r="B11" s="71" t="inlineStr">
        <is>
          <t>1) Your company's numbers are in your proposal (table at the bottom of this tab): treat them as measured — they are your company's logs. 2) Orders of magnitude from the Session 2 slides (a human ticket costs €5–15 all-in; an LLM conversation €0.02–0.20): analogy. 3) Everything else is your estimate: write guess, and say in the note how you would check it. Every yellow cell gets a source type and a note.</t>
        </is>
      </c>
    </row>
    <row r="12"/>
    <row r="13" ht="15" customHeight="1" s="68">
      <c r="B13" s="70" t="inlineStr">
        <is>
          <t>STEP BY STEP — about one hour, as a team. Type only in the yellow cells.</t>
        </is>
      </c>
    </row>
    <row r="14" ht="15" customHeight="1" s="68">
      <c r="B14" s="72" t="inlineStr">
        <is>
          <t>Step</t>
        </is>
      </c>
      <c r="C14" s="72" t="inlineStr">
        <is>
          <t>Where</t>
        </is>
      </c>
      <c r="D14" s="72" t="inlineStr">
        <is>
          <t>What to enter</t>
        </is>
      </c>
      <c r="E14" s="72" t="inlineStr">
        <is>
          <t>Tip</t>
        </is>
      </c>
    </row>
    <row r="15" ht="33.75" customHeight="1" s="68">
      <c r="B15" s="73" t="inlineStr">
        <is>
          <t>1 · Volume and human cost</t>
        </is>
      </c>
      <c r="C15" s="71" t="inlineStr">
        <is>
          <t>Inputs, rows 6–9</t>
        </is>
      </c>
      <c r="D15" s="71" t="inlineStr">
        <is>
          <t>Tickets per month; number of support agents; what ONE agent costs the company per year (all-in); the cost of one ticket handled by a human.</t>
        </is>
      </c>
      <c r="E15" s="71" t="inlineStr">
        <is>
          <t>From your proposal. Row 10 gives the agent time per ticket from headcount (Paylio: 60 × €45k ÷ 480,000 ≈ €5.6; €10 all-in with team leads, QA and tools); row 11 the tickets per agent per day.</t>
        </is>
      </c>
    </row>
    <row r="16" ht="60" customHeight="1" s="68">
      <c r="B16" s="74" t="inlineStr">
        <is>
          <t>2 · Your categories</t>
        </is>
      </c>
      <c r="C16" s="75" t="inlineStr">
        <is>
          <t>Inputs, A14:A16 and rows 14–16</t>
        </is>
      </c>
      <c r="D16" s="75" t="inlineStr">
        <is>
          <t>Rename the three categories of work your agent deals with — ticket types, requests, incidents, accounts (e.g. P4: refund requests, delivery questions, account issues) — and give each one's share of the volume.</t>
        </is>
      </c>
      <c r="E16" s="75" t="inlineStr">
        <is>
          <t>Fewer than three? Set Include = 0 (rows 34–36) for the unused ones.</t>
        </is>
      </c>
    </row>
    <row r="17" ht="33.75" customHeight="1" s="68">
      <c r="B17" s="73" t="inlineStr">
        <is>
          <t>3 · Automatable share</t>
        </is>
      </c>
      <c r="C17" s="71" t="inlineStr">
        <is>
          <t>Inputs, rows 18–20</t>
        </is>
      </c>
      <c r="D17" s="71" t="inlineStr">
        <is>
          <t>In each category, the share of tickets the agent could handle at all (answerable from the documentation, the policy, the data it can see).</t>
        </is>
      </c>
      <c r="E17" s="71" t="inlineStr">
        <is>
          <t>Guess from a sample of tickets — and say how you would check it.</t>
        </is>
      </c>
    </row>
    <row r="18" ht="33.75" customHeight="1" s="68">
      <c r="B18" s="74" t="inlineStr">
        <is>
          <t>4 · Deflection realised</t>
        </is>
      </c>
      <c r="C18" s="75" t="inlineStr">
        <is>
          <t>Inputs, rows 22–24</t>
        </is>
      </c>
      <c r="D18" s="75" t="inlineStr">
        <is>
          <t>Of those, the share actually resolved without a human once live.</t>
        </is>
      </c>
      <c r="E18" s="75" t="inlineStr">
        <is>
          <t>Usually THE assumption that flips the decision: mark it “guess → S4 test”.</t>
        </is>
      </c>
    </row>
    <row r="19" ht="45.75" customHeight="1" s="68">
      <c r="B19" s="73" t="inlineStr">
        <is>
          <t>5 · Errors and what they cost</t>
        </is>
      </c>
      <c r="C19" s="71" t="inlineStr">
        <is>
          <t>Inputs, rows 26–32</t>
        </is>
      </c>
      <c r="D19" s="71" t="inlineStr">
        <is>
          <t>The error rate per category, and the cost in € of one wrong answer (customer retries, refund leakage, penalty, churn, a legal case).</t>
        </is>
      </c>
      <c r="E19" s="71" t="inlineStr">
        <is>
          <t>The costly categories are where a human must stay — that is a scope decision (step 6).</t>
        </is>
      </c>
    </row>
    <row r="20" ht="30" customHeight="1" s="68">
      <c r="B20" s="74" t="inlineStr">
        <is>
          <t>6 · Scope</t>
        </is>
      </c>
      <c r="C20" s="75" t="inlineStr">
        <is>
          <t>Inputs, rows 34–36</t>
        </is>
      </c>
      <c r="D20" s="75" t="inlineStr">
        <is>
          <t>1 = the agent handles this category, 0 = it does not.</t>
        </is>
      </c>
      <c r="E20" s="75" t="inlineStr">
        <is>
          <t>Try 0 on the riskiest category and watch the decision.</t>
        </is>
      </c>
    </row>
    <row r="21" ht="33.75" customHeight="1" s="68">
      <c r="B21" s="73" t="inlineStr">
        <is>
          <t>7 · Adoption by quarter</t>
        </is>
      </c>
      <c r="C21" s="71" t="inlineStr">
        <is>
          <t>Inputs, rows 39–42</t>
        </is>
      </c>
      <c r="D21" s="71" t="inlineStr">
        <is>
          <t>The share of the deflectable volume actually handled in Q1, Q2, Q3, Q4.</t>
        </is>
      </c>
      <c r="E21" s="71" t="inlineStr">
        <is>
          <t>Never 100 % in Q1 — Octopus Energy went from a handful of emails to 34 %, then 45 %.</t>
        </is>
      </c>
    </row>
    <row r="22" ht="30" customHeight="1" s="68">
      <c r="B22" s="74" t="inlineStr">
        <is>
          <t>8 · AI cost</t>
        </is>
      </c>
      <c r="C22" s="75" t="inlineStr">
        <is>
          <t>Inputs, rows 45–46</t>
        </is>
      </c>
      <c r="D22" s="75" t="inlineStr">
        <is>
          <t>The AI cost per conversation (tokens × price) and the retry overhead.</t>
        </is>
      </c>
      <c r="E22" s="75" t="inlineStr">
        <is>
          <t>€0.02–0.20 per conversation; recheck token prices the day you fill it in.</t>
        </is>
      </c>
    </row>
    <row r="23" ht="33.75" customHeight="1" s="68">
      <c r="B23" s="73" t="inlineStr">
        <is>
          <t>9 · Fixed costs</t>
        </is>
      </c>
      <c r="C23" s="71" t="inlineStr">
        <is>
          <t>Inputs, rows 49–56</t>
        </is>
      </c>
      <c r="D23" s="71" t="inlineStr">
        <is>
          <t>Integration, evaluation, supervision (people in the loop, in FTE), monitoring and on-call, re-evaluation when the model changes.</t>
        </is>
      </c>
      <c r="E23" s="71" t="inlineStr">
        <is>
          <t>The human in the loop is a cost line, not free.</t>
        </is>
      </c>
    </row>
    <row r="24" ht="45.75" customHeight="1" s="68">
      <c r="B24" s="74" t="inlineStr">
        <is>
          <t>10 · The two comparisons</t>
        </is>
      </c>
      <c r="C24" s="75" t="inlineStr">
        <is>
          <t>Inputs, rows 59–60</t>
        </is>
      </c>
      <c r="D24" s="75" t="inlineStr">
        <is>
          <t>How much the current process improves each year on its own (do-nothing), and the yearly value of the next-best project the same team could do (name it in the note).</t>
        </is>
      </c>
      <c r="E24" s="75" t="inlineStr">
        <is>
          <t>The hurdle is another project, not zero.</t>
        </is>
      </c>
    </row>
    <row r="25" ht="30" customHeight="1" s="68">
      <c r="B25" s="73" t="inlineStr">
        <is>
          <t>11 · Probabilities</t>
        </is>
      </c>
      <c r="C25" s="71" t="inlineStr">
        <is>
          <t>Inputs, row 63</t>
        </is>
      </c>
      <c r="D25" s="71" t="inlineStr">
        <is>
          <t>How likely you find the pessimistic, base and optimistic scenarios.</t>
        </is>
      </c>
      <c r="E25" s="71" t="inlineStr">
        <is>
          <t>Must sum to 1 (row 64 checks it).</t>
        </is>
      </c>
    </row>
    <row r="26" ht="45.75" customHeight="1" s="68">
      <c r="B26" s="74" t="inlineStr">
        <is>
          <t>12 · Read the result</t>
        </is>
      </c>
      <c r="C26" s="75" t="inlineStr">
        <is>
          <t>Decision tab</t>
        </is>
      </c>
      <c r="D26" s="75" t="inlineStr">
        <is>
          <t>Net value per scenario, expected value, comparisons, the decision cell, and the sensitivity table: the deflection rate at which the decision flips.</t>
        </is>
      </c>
      <c r="E26" s="75" t="inlineStr">
        <is>
          <t>Do not type here. The flip point goes in the memo — your Session 4 prototype will measure it.</t>
        </is>
      </c>
    </row>
    <row r="27" ht="45.75" customHeight="1" s="68">
      <c r="B27" s="73" t="inlineStr">
        <is>
          <t>13 · Build, buy or orchestrate</t>
        </is>
      </c>
      <c r="C27" s="71" t="inlineStr">
        <is>
          <t>Build or buy tab</t>
        </is>
      </c>
      <c r="D27" s="71" t="inlineStr">
        <is>
          <t>Weights (sum 100 %) and a score from 1 to 5 for each option on the ten questions; the vendor's price per resolution for the break-even.</t>
        </is>
      </c>
      <c r="E27" s="71" t="inlineStr">
        <is>
          <t>The score informs the decision; the memo makes it.</t>
        </is>
      </c>
    </row>
    <row r="28" ht="30" customHeight="1" s="68">
      <c r="B28" s="74" t="inlineStr">
        <is>
          <t>14 · Write the memo</t>
        </is>
      </c>
      <c r="C28" s="75" t="inlineStr">
        <is>
          <t>02_investment_memo.md</t>
        </is>
      </c>
      <c r="D28" s="75" t="inlineStr">
        <is>
          <t>Recommendation on line one, the four CFO questions, one line on build / buy / orchestrate.</t>
        </is>
      </c>
      <c r="E28" s="75" t="inlineStr">
        <is>
          <t>Same base case as this sheet.</t>
        </is>
      </c>
    </row>
    <row r="29"/>
    <row r="30" ht="15" customHeight="1" s="68">
      <c r="B30" s="70" t="inlineStr">
        <is>
          <t>STARTING NUMBERS FROM THE PROJECT DOCUMENT</t>
        </is>
      </c>
    </row>
    <row r="31" ht="15" customHeight="1" s="68">
      <c r="B31" s="72" t="inlineStr">
        <is>
          <t>Proposal</t>
        </is>
      </c>
      <c r="C31" s="72" t="inlineStr">
        <is>
          <t>Company numbers</t>
        </is>
      </c>
      <c r="D31" s="72" t="inlineStr">
        <is>
          <t>The pain</t>
        </is>
      </c>
      <c r="E31" s="72" t="inlineStr">
        <is>
          <t>Kind of value</t>
        </is>
      </c>
    </row>
    <row r="32" ht="60" customHeight="1" s="68">
      <c r="B32" s="73" t="inlineStr">
        <is>
          <t>P1 · HR &amp; payroll SaaS</t>
        </is>
      </c>
      <c r="C32" s="71" t="inlineStr">
        <is>
          <t>2,500 customer companies · 40,000 tickets/month · 60 support agents</t>
        </is>
      </c>
      <c r="D32" s="71" t="inlineStr">
        <is>
          <t>55 % of tickets are “how do I…” questions already answered in the documentation; peaks at month end</t>
        </is>
      </c>
      <c r="E32" s="71" t="inlineStr">
        <is>
          <t>Work avoided</t>
        </is>
      </c>
    </row>
    <row r="33" ht="60" customHeight="1" s="68">
      <c r="B33" s="74" t="inlineStr">
        <is>
          <t>P2 · B2B payments fintech</t>
        </is>
      </c>
      <c r="C33" s="75" t="inlineStr">
        <is>
          <t>800 merchants · 12,000 tickets/month</t>
        </is>
      </c>
      <c r="D33" s="75" t="inlineStr">
        <is>
          <t>Agents spend 40 % of handling time reading transaction history and past tickets</t>
        </is>
      </c>
      <c r="E33" s="75" t="inlineStr">
        <is>
          <t>Time saved (copilot)</t>
        </is>
      </c>
    </row>
    <row r="34" ht="60" customHeight="1" s="68">
      <c r="B34" s="73" t="inlineStr">
        <is>
          <t>P3 · DevOps / observability</t>
        </is>
      </c>
      <c r="C34" s="71" t="inlineStr">
        <is>
          <t>5,000 accounts · tickets ×10 during incidents (normal volume not given: estimate it)</t>
        </is>
      </c>
      <c r="D34" s="71" t="inlineStr">
        <is>
          <t>During an outage, 70 % of tickets say the same thing</t>
        </is>
      </c>
      <c r="E34" s="71" t="inlineStr">
        <is>
          <t>Incident load — tickets per incident × incidents a year</t>
        </is>
      </c>
    </row>
    <row r="35" ht="60" customHeight="1" s="68">
      <c r="B35" s="74" t="inlineStr">
        <is>
          <t>P4 · E-commerce logistics</t>
        </is>
      </c>
      <c r="C35" s="75" t="inlineStr">
        <is>
          <t>15,000 merchants · 25,000 tickets/month</t>
        </is>
      </c>
      <c r="D35" s="75" t="inlineStr">
        <is>
          <t>30 % of tickets are label refunds; refunds under €20 cost more to process than they are worth</t>
        </is>
      </c>
      <c r="E35" s="75" t="inlineStr">
        <is>
          <t>Work avoided; the cost of error is refund leakage</t>
        </is>
      </c>
    </row>
    <row r="36" ht="60" customHeight="1" s="68">
      <c r="B36" s="73" t="inlineStr">
        <is>
          <t>P5 · Ed-tech LMS</t>
        </is>
      </c>
      <c r="C36" s="71" t="inlineStr">
        <is>
          <t>14 countries · 6 languages · 20 agents (volume not given: estimate it)</t>
        </is>
      </c>
      <c r="D36" s="71" t="inlineStr">
        <is>
          <t>Tickets in Portuguese, Polish, Arabic wait 2–3× longer</t>
        </is>
      </c>
      <c r="E36" s="71" t="inlineStr">
        <is>
          <t>Work avoided — use the categories for languages</t>
        </is>
      </c>
    </row>
    <row r="37" ht="60" customHeight="1" s="68">
      <c r="B37" s="74" t="inlineStr">
        <is>
          <t>P6 · Project-management SaaS</t>
        </is>
      </c>
      <c r="C37" s="75" t="inlineStr">
        <is>
          <t>30,000 SMB accounts · 9,000 tickets/month · 8 % annual churn</t>
        </is>
      </c>
      <c r="D37" s="75" t="inlineStr">
        <is>
          <t>Churn signals visible in support weeks before cancellation</t>
        </is>
      </c>
      <c r="E37" s="75" t="inlineStr">
        <is>
          <t>Work avoided + revenue retained (Other value)</t>
        </is>
      </c>
    </row>
    <row r="38" ht="60" customHeight="1" s="68">
      <c r="B38" s="73" t="inlineStr">
        <is>
          <t>P7 · Cybersecurity SaaS</t>
        </is>
      </c>
      <c r="C38" s="71" t="inlineStr">
        <is>
          <t>400 enterprise accounts · 6,000 tickets/month · 25 engineers · SLA P1 = 1 h, P2 = 4 h</t>
        </is>
      </c>
      <c r="D38" s="71" t="inlineStr">
        <is>
          <t>Misprioritised tickets cause SLA breaches and penalties</t>
        </is>
      </c>
      <c r="E38" s="71" t="inlineStr">
        <is>
          <t>Time saved + penalties avoided (Other value)</t>
        </is>
      </c>
    </row>
    <row r="39" ht="60" customHeight="1" s="68">
      <c r="B39" s="74" t="inlineStr">
        <is>
          <t>P8 · Hospitality-tech</t>
        </is>
      </c>
      <c r="C39" s="75" t="inlineStr">
        <is>
          <t>3,000 hotels (volume not given: estimate it) · reviews.csv for real data</t>
        </is>
      </c>
      <c r="D39" s="75" t="inlineStr">
        <is>
          <t>20 % of tickets are analysis requests; answer today in 4 days</t>
        </is>
      </c>
      <c r="E39" s="75" t="inlineStr">
        <is>
          <t>Time saved — analysis requests answered faster</t>
        </is>
      </c>
    </row>
    <row r="40" ht="60" customHeight="1" s="68">
      <c r="B40" s="73" t="inlineStr">
        <is>
          <t>Own project</t>
        </is>
      </c>
      <c r="C40" s="71" t="inlineStr">
        <is>
          <t>The numbers of your 00_pitch.md</t>
        </is>
      </c>
      <c r="D40" s="71" t="inlineStr">
        <is>
          <t>Your pain, expressed as a cost</t>
        </is>
      </c>
      <c r="E40" s="71" t="inlineStr">
        <is>
          <t>Pick the kind of value below; invent plausible numbers and label them</t>
        </is>
      </c>
    </row>
    <row r="41"/>
    <row r="42" ht="15" customHeight="1" s="68">
      <c r="B42" s="70" t="inlineStr">
        <is>
          <t>NOT ONLY TICKETS — OTHER KINDS OF VALUE, WITH WORKED EXAMPLES</t>
        </is>
      </c>
    </row>
    <row r="43" ht="33.75" customHeight="1" s="68">
      <c r="B43" s="71" t="inlineStr">
        <is>
          <t>Every agent is sized the same way: volume × share in scope × success rate × value per success − AI cost − cost of errors − fixed costs. Only the unit and the value change. Pick the line that matches your agent (you can combine two). Numbers below are illustrative — replace them with yours.</t>
        </is>
      </c>
    </row>
    <row r="44" ht="15" customHeight="1" s="68">
      <c r="B44" s="72" t="inlineStr">
        <is>
          <t>Kind of value</t>
        </is>
      </c>
      <c r="C44" s="72" t="inlineStr">
        <is>
          <t>Typical for</t>
        </is>
      </c>
      <c r="D44" s="72" t="inlineStr">
        <is>
          <t>What goes where in the sheet</t>
        </is>
      </c>
      <c r="E44" s="72" t="inlineStr">
        <is>
          <t>Illustrative example</t>
        </is>
      </c>
    </row>
    <row r="45" ht="48" customHeight="1" s="68">
      <c r="B45" s="73" t="inlineStr">
        <is>
          <t>Work avoided (deflection)</t>
        </is>
      </c>
      <c r="C45" s="71" t="inlineStr">
        <is>
          <t>P1, P4, P5</t>
        </is>
      </c>
      <c r="D45" s="71" t="inlineStr">
        <is>
          <t>Volume = tickets · success rate = deflection · value per unit = human cost of one ticket.</t>
        </is>
      </c>
      <c r="E45" s="71" t="inlineStr">
        <is>
          <t>P1: 40,000 tickets × 55 % “how do I” × 68 % automatable × your deflection rate (say 50 %) × €10 ≈ €75k a month at full adoption.</t>
        </is>
      </c>
    </row>
    <row r="46" ht="48" customHeight="1" s="68">
      <c r="B46" s="74" t="inlineStr">
        <is>
          <t>Time saved (copilot)</t>
        </is>
      </c>
      <c r="C46" s="75" t="inlineStr">
        <is>
          <t>P2, P7 (triage), P8</t>
        </is>
      </c>
      <c r="D46" s="75" t="inlineStr">
        <is>
          <t>Volume = tickets or requests the agent helps with · success rate = share of handling time saved · value per unit = human cost of one.</t>
        </is>
      </c>
      <c r="E46" s="75" t="inlineStr">
        <is>
          <t>P2: 12,000 tickets × 100 % with the copilot × 20 % of time saved × €10 ≈ €24k a month.</t>
        </is>
      </c>
    </row>
    <row r="47" ht="48" customHeight="1" s="68">
      <c r="B47" s="73" t="inlineStr">
        <is>
          <t>Revenue retained</t>
        </is>
      </c>
      <c r="C47" s="71" t="inlineStr">
        <is>
          <t>P6</t>
        </is>
      </c>
      <c r="D47" s="71" t="inlineStr">
        <is>
          <t>Use an Other value row (67–68): accounts at risk that reach support × share saved × yearly revenue per account.</t>
        </is>
      </c>
      <c r="E47" s="71" t="inlineStr">
        <is>
          <t>P6: 30,000 accounts × 8 % churn = 2,400 lost a year; half open a ticket first; 10 % saved = 120 × €1,200 ≈ €144k a year.</t>
        </is>
      </c>
    </row>
    <row r="48" ht="48" customHeight="1" s="68">
      <c r="B48" s="74" t="inlineStr">
        <is>
          <t>Penalties avoided</t>
        </is>
      </c>
      <c r="C48" s="75" t="inlineStr">
        <is>
          <t>P7</t>
        </is>
      </c>
      <c r="D48" s="75" t="inlineStr">
        <is>
          <t>Use an Other value row: breaches a year × share avoided × penalty per breach (from the contracts).</t>
        </is>
      </c>
      <c r="E48" s="75" t="inlineStr">
        <is>
          <t>P7: 240 SLA breaches a year × 30 % avoided × €2,000 ≈ €144k a year.</t>
        </is>
      </c>
    </row>
    <row r="49" ht="48" customHeight="1" s="68">
      <c r="B49" s="73" t="inlineStr">
        <is>
          <t>Faster answers, incident load</t>
        </is>
      </c>
      <c r="C49" s="71" t="inlineStr">
        <is>
          <t>P3, P8</t>
        </is>
      </c>
      <c r="D49" s="71" t="inlineStr">
        <is>
          <t>Volume = requests or incident tickets (incidents a year × tickets per incident ÷ 12) · value = agent time per ticket; the speed gain goes in the memo.</t>
        </is>
      </c>
      <c r="E49" s="71" t="inlineStr">
        <is>
          <t>P3: 20 incidents a year × 1,500 tickets each ÷ 12 = 2,500 tickets a month.</t>
        </is>
      </c>
    </row>
    <row r="50"/>
    <row r="51" ht="15" customHeight="1" s="68">
      <c r="B51" s="76" t="inlineStr">
        <is>
          <t>Data &amp; AI Product: From Diagnosis to Delivery · Albert School MSA-DAT07-04 · Assignment 2 · BleuAI</t>
        </is>
      </c>
    </row>
  </sheetData>
  <mergeCells count="12">
    <mergeCell ref="B8:E8"/>
    <mergeCell ref="B4:E4"/>
    <mergeCell ref="B43:E43"/>
    <mergeCell ref="B13:E13"/>
    <mergeCell ref="B30:E30"/>
    <mergeCell ref="B7:E7"/>
    <mergeCell ref="B11:E11"/>
    <mergeCell ref="B5:E5"/>
    <mergeCell ref="B2:E2"/>
    <mergeCell ref="B51:E51"/>
    <mergeCell ref="B10:E10"/>
    <mergeCell ref="B42:E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67" min="1" max="1"/>
    <col width="12" customWidth="1" style="67" min="2" max="2"/>
    <col width="13" customWidth="1" style="67" min="3" max="5"/>
    <col width="16" customWidth="1" style="67" min="6" max="6"/>
    <col width="70" customWidth="1" style="67" min="7" max="7"/>
    <col width="22" customWidth="1" style="67" min="8" max="8"/>
  </cols>
  <sheetData>
    <row r="1" ht="17.25" customHeight="1" s="68">
      <c r="A1" s="77" t="inlineStr">
        <is>
          <t>02_sizing — your agent · Inputs</t>
        </is>
      </c>
    </row>
    <row r="2" ht="30" customHeight="1" s="68">
      <c r="A2" s="78" t="inlineStr">
        <is>
          <t>Template for Assignment 2. Fill the yellow cells (Low / Base / High, Source type). Black cells are formulas — do not type over them. 'Low' = pessimistic scenario throughout (lower value, higher cost and error rates); 'High' = optimistic. Column H shows the class exercise (Paylio, a fictional company) as an example of format only — your numbers are those of YOUR team's project. Step-by-step guide in the first tab.</t>
        </is>
      </c>
    </row>
    <row r="3"/>
    <row r="4" ht="27.75" customHeight="1" s="68">
      <c r="A4" s="79" t="inlineStr">
        <is>
          <t>Parameter</t>
        </is>
      </c>
      <c r="B4" s="79" t="inlineStr">
        <is>
          <t>Unit</t>
        </is>
      </c>
      <c r="C4" s="79" t="inlineStr">
        <is>
          <t>Low (pessimistic)</t>
        </is>
      </c>
      <c r="D4" s="79" t="inlineStr">
        <is>
          <t>Base</t>
        </is>
      </c>
      <c r="E4" s="79" t="inlineStr">
        <is>
          <t>High (optimistic)</t>
        </is>
      </c>
      <c r="F4" s="79" t="inlineStr">
        <is>
          <t>Source type</t>
        </is>
      </c>
      <c r="G4" s="79" t="inlineStr">
        <is>
          <t>Note / where the number comes from</t>
        </is>
      </c>
      <c r="H4" s="80" t="inlineStr">
        <is>
          <t>Example only — class exercise (Paylio, base)</t>
        </is>
      </c>
    </row>
    <row r="5" ht="15" customHeight="1" s="68">
      <c r="A5" s="81" t="inlineStr">
        <is>
          <t>VOLUME AND HUMAN COST</t>
        </is>
      </c>
    </row>
    <row r="6" ht="15" customHeight="1" s="68">
      <c r="A6" s="82" t="inlineStr">
        <is>
          <t>Volume per month (tickets, requests, conversations…)</t>
        </is>
      </c>
      <c r="B6" s="82" t="inlineStr">
        <is>
          <t>tickets</t>
        </is>
      </c>
      <c r="C6" s="83" t="n">
        <v>23000</v>
      </c>
      <c r="D6" s="83" t="n">
        <v>25000</v>
      </c>
      <c r="E6" s="83" t="n">
        <v>27000</v>
      </c>
      <c r="F6" s="84" t="inlineStr">
        <is>
          <t>measured</t>
        </is>
      </c>
      <c r="G6" s="85" t="inlineStr">
        <is>
          <t>LabelFlow platform logs (P4 brief): 25,000 support tickets a month. Low/high = observed monthly variation around peak shipping periods.</t>
        </is>
      </c>
      <c r="H6" s="86" t="n">
        <v>40000</v>
      </c>
    </row>
    <row r="7" ht="15" customHeight="1" s="68">
      <c r="A7" s="82" t="inlineStr">
        <is>
          <t>Tier-1 support agents (headcount)</t>
        </is>
      </c>
      <c r="B7" s="82" t="inlineStr">
        <is>
          <t>people</t>
        </is>
      </c>
      <c r="C7" s="83" t="n">
        <v>32</v>
      </c>
      <c r="D7" s="83" t="n">
        <v>32</v>
      </c>
      <c r="E7" s="83" t="n">
        <v>32</v>
      </c>
      <c r="F7" s="84" t="inlineStr">
        <is>
          <t>guess</t>
        </is>
      </c>
      <c r="G7" s="85" t="inlineStr">
        <is>
          <t>Tier-1 headcount is NOT given in the P4 brief. Estimated at 32 from the volume: 25,000 / 32 / 21 working days = 37 tickets per agent per day. To be replaced by HR headcount.</t>
        </is>
      </c>
      <c r="H7" s="86" t="n">
        <v>60</v>
      </c>
    </row>
    <row r="8" ht="21.75" customHeight="1" s="68">
      <c r="A8" s="82" t="inlineStr">
        <is>
          <t>Cost of ONE agent to the company per year (all-in)</t>
        </is>
      </c>
      <c r="B8" s="82" t="inlineStr">
        <is>
          <t>€ / year</t>
        </is>
      </c>
      <c r="C8" s="87" t="n">
        <v>42000</v>
      </c>
      <c r="D8" s="87" t="n">
        <v>42000</v>
      </c>
      <c r="E8" s="87" t="n">
        <v>42000</v>
      </c>
      <c r="F8" s="84" t="inlineStr">
        <is>
          <t>analogy</t>
        </is>
      </c>
      <c r="G8" s="85" t="inlineStr">
        <is>
          <t>All-in annual cost of one tier-1 agent (salary, charges, tooling, workspace). Benchmark figure, to be replaced by LabelFlow payroll.</t>
        </is>
      </c>
      <c r="H8" s="86" t="n">
        <v>45000</v>
      </c>
    </row>
    <row r="9" ht="21.75" customHeight="1" s="68">
      <c r="A9" s="88" t="inlineStr">
        <is>
          <t>Cost of ONE unit handled by a human (ticket, request…)</t>
        </is>
      </c>
      <c r="B9" s="82" t="inlineStr">
        <is>
          <t>€ / ticket</t>
        </is>
      </c>
      <c r="C9" s="87" t="n">
        <v>5</v>
      </c>
      <c r="D9" s="87" t="n">
        <v>7</v>
      </c>
      <c r="E9" s="87" t="n">
        <v>9</v>
      </c>
      <c r="F9" s="84" t="inlineStr">
        <is>
          <t>analogy</t>
        </is>
      </c>
      <c r="G9" s="85" t="inlineStr">
        <is>
          <t>Fully loaded cost of one human-handled ticket. LOW = the €5 our own 01_problem_statement.md states (an unverified first estimate). BASE €7 = €4.48 of agent time (row 10) plus team leads, QA and tools. Session 2 range for a tier-1 ticket is €5-15. To be measured on a 2-week sample.</t>
        </is>
      </c>
      <c r="H9" s="89" t="n">
        <v>10</v>
      </c>
    </row>
    <row r="10" ht="15" customHeight="1" s="68">
      <c r="A10" s="82" t="inlineStr">
        <is>
          <t>Check — cost per ticket from headcount, base = agents × cost per agent ÷ tickets per year</t>
        </is>
      </c>
      <c r="B10" s="67" t="inlineStr">
        <is>
          <t>€ / ticket</t>
        </is>
      </c>
      <c r="C10" s="90" t="n"/>
      <c r="D10" s="90">
        <f>IFERROR(D7*D8/(D6*12),"")</f>
        <v/>
      </c>
      <c r="E10" s="90" t="n"/>
      <c r="G10" s="91" t="inlineStr">
        <is>
          <t>Formula, not an input: agents × cost per agent ÷ (volume × 12) = the agent time per unit. Row 9 should be equal or higher (Paylio: €5.6 of agent time, €10 all-in).</t>
        </is>
      </c>
    </row>
    <row r="11" ht="15" customHeight="1" s="68">
      <c r="A11" s="82" t="inlineStr">
        <is>
          <t>Check — tickets per agent per working day, base (21 working days a month)</t>
        </is>
      </c>
      <c r="B11" s="67" t="inlineStr">
        <is>
          <t>tickets</t>
        </is>
      </c>
      <c r="D11" s="92">
        <f>IFERROR(D6/D7/21,"")</f>
        <v/>
      </c>
      <c r="G11" s="91" t="inlineStr">
        <is>
          <t>Formula, not an input: volume ÷ agents ÷ 21 — a sanity check (Paylio ≈ 32 tickets a day).</t>
        </is>
      </c>
    </row>
    <row r="12" ht="15" customHeight="1" s="68">
      <c r="A12" s="81" t="inlineStr">
        <is>
          <t>TICKET CATEGORIES</t>
        </is>
      </c>
    </row>
    <row r="13" ht="15" customHeight="1" s="68">
      <c r="A13" s="88" t="inlineStr">
        <is>
          <t>Share of the volume by category (rename the three categories in A14:A16 — the other blocks follow)</t>
        </is>
      </c>
    </row>
    <row r="14" ht="15" customHeight="1" s="68">
      <c r="A14" s="93" t="inlineStr">
        <is>
          <t xml:space="preserve">   Refund requests under €20</t>
        </is>
      </c>
      <c r="B14" s="82" t="inlineStr">
        <is>
          <t>share</t>
        </is>
      </c>
      <c r="C14" s="94" t="n">
        <v>0.165</v>
      </c>
      <c r="D14" s="94" t="n">
        <v>0.195</v>
      </c>
      <c r="E14" s="94" t="n">
        <v>0.225</v>
      </c>
      <c r="F14" s="84" t="inlineStr">
        <is>
          <t>guess</t>
        </is>
      </c>
      <c r="G14" s="85" t="inlineStr">
        <is>
          <t>Share of ALL tickets. Refund requests = 30% of volume (measured, P4 brief). The split by amount band is a guess: base assumes 65% of refund requests are under €20. CHECK FIRST: a 3-month export of refund amounts settles this and moves the whole case.</t>
        </is>
      </c>
      <c r="H14" s="95" t="n">
        <v>0.55</v>
      </c>
    </row>
    <row r="15" ht="15" customHeight="1" s="68">
      <c r="A15" s="93" t="inlineStr">
        <is>
          <t xml:space="preserve">   Refund requests €20-100</t>
        </is>
      </c>
      <c r="B15" s="82" t="inlineStr">
        <is>
          <t>share</t>
        </is>
      </c>
      <c r="C15" s="94" t="n">
        <v>0.09</v>
      </c>
      <c r="D15" s="94" t="n">
        <v>0.075</v>
      </c>
      <c r="E15" s="94" t="n">
        <v>0.06</v>
      </c>
      <c r="F15" s="84" t="inlineStr">
        <is>
          <t>guess</t>
        </is>
      </c>
      <c r="G15" s="85" t="inlineStr">
        <is>
          <t>Base assumes 25% of refund requests fall in the €20-100 band. Same export settles it. The three bands always sum to the measured 30%.</t>
        </is>
      </c>
      <c r="H15" s="95" t="n">
        <v>0.3</v>
      </c>
    </row>
    <row r="16" ht="15" customHeight="1" s="68">
      <c r="A16" s="93" t="inlineStr">
        <is>
          <t xml:space="preserve">   Refund requests over €100</t>
        </is>
      </c>
      <c r="B16" s="82" t="inlineStr">
        <is>
          <t>share</t>
        </is>
      </c>
      <c r="C16" s="94" t="n">
        <v>0.045</v>
      </c>
      <c r="D16" s="94" t="n">
        <v>0.03</v>
      </c>
      <c r="E16" s="94" t="n">
        <v>0.015</v>
      </c>
      <c r="F16" s="84" t="inlineStr">
        <is>
          <t>guess</t>
        </is>
      </c>
      <c r="G16" s="85" t="inlineStr">
        <is>
          <t>Base assumes 10% of refund requests are over €100. Same export settles it.</t>
        </is>
      </c>
      <c r="H16" s="95" t="n">
        <v>0.15</v>
      </c>
    </row>
    <row r="17" ht="15" customHeight="1" s="68">
      <c r="A17" s="88" t="inlineStr">
        <is>
          <t>Automatable share (answerable from documentation)</t>
        </is>
      </c>
    </row>
    <row r="18" ht="15" customHeight="1" s="68">
      <c r="A18" s="82">
        <f>"   "&amp;TRIM($A$14)</f>
        <v/>
      </c>
      <c r="B18" s="82" t="inlineStr">
        <is>
          <t>share</t>
        </is>
      </c>
      <c r="C18" s="94" t="n">
        <v>0.6</v>
      </c>
      <c r="D18" s="94" t="n">
        <v>0.7</v>
      </c>
      <c r="E18" s="94" t="n">
        <v>0.8</v>
      </c>
      <c r="F18" s="84" t="inlineStr">
        <is>
          <t>analogy</t>
        </is>
      </c>
      <c r="G18" s="85" t="inlineStr">
        <is>
          <t>Share decidable from the refund policy plus package-tracking data alone. Base 70% is the figure in our own 01_problem_statement.md. To be re-tested by replaying 200 historical sub-€20 refund tickets.</t>
        </is>
      </c>
      <c r="H18" s="95" t="n">
        <v>0.68</v>
      </c>
    </row>
    <row r="19" ht="15" customHeight="1" s="68">
      <c r="A19" s="82">
        <f>"   "&amp;TRIM($A$15)</f>
        <v/>
      </c>
      <c r="B19" s="82" t="inlineStr">
        <is>
          <t>share</t>
        </is>
      </c>
      <c r="C19" s="94" t="n">
        <v>0.45</v>
      </c>
      <c r="D19" s="94" t="n">
        <v>0.55</v>
      </c>
      <c r="E19" s="94" t="n">
        <v>0.65</v>
      </c>
      <c r="F19" s="84" t="inlineStr">
        <is>
          <t>guess</t>
        </is>
      </c>
      <c r="G19" s="85" t="inlineStr">
        <is>
          <t>Lower than the sub-€20 band: larger amounts attract more non-standard evidence and more policy exceptions.</t>
        </is>
      </c>
      <c r="H19" s="95" t="n">
        <v>0.15</v>
      </c>
    </row>
    <row r="20" ht="15" customHeight="1" s="68">
      <c r="A20" s="82">
        <f>"   "&amp;TRIM($A$16)</f>
        <v/>
      </c>
      <c r="B20" s="82" t="inlineStr">
        <is>
          <t>share</t>
        </is>
      </c>
      <c r="C20" s="94" t="n">
        <v>0.3</v>
      </c>
      <c r="D20" s="94" t="n">
        <v>0.4</v>
      </c>
      <c r="E20" s="94" t="n">
        <v>0.5</v>
      </c>
      <c r="F20" s="84" t="inlineStr">
        <is>
          <t>guess</t>
        </is>
      </c>
      <c r="G20" s="85" t="inlineStr">
        <is>
          <t>Lowest of the three: above €100 the evidence is most often unstructured. Excluded from scope anyway (row 36).</t>
        </is>
      </c>
      <c r="H20" s="95" t="n">
        <v>0.35</v>
      </c>
    </row>
    <row r="21" ht="15" customHeight="1" s="68">
      <c r="A21" s="88" t="inlineStr">
        <is>
          <t>Success rate on the automatable share (deflection — or share of time saved, see the guide)</t>
        </is>
      </c>
    </row>
    <row r="22" ht="15" customHeight="1" s="68">
      <c r="A22" s="88">
        <f>"   "&amp;TRIM($A$14)</f>
        <v/>
      </c>
      <c r="B22" s="82" t="inlineStr">
        <is>
          <t>share</t>
        </is>
      </c>
      <c r="C22" s="94" t="n">
        <v>0.4</v>
      </c>
      <c r="D22" s="94" t="n">
        <v>0.55</v>
      </c>
      <c r="E22" s="94" t="n">
        <v>0.7</v>
      </c>
      <c r="F22" s="84" t="inlineStr">
        <is>
          <t>guess</t>
        </is>
      </c>
      <c r="G22" s="85" t="inlineStr">
        <is>
          <t>Share of automatable sub-€20 cases the agent settles alone at L4, with a human reviewing a sample afterwards. Session 2 gives 30-80% as a realistic band. THIS IS THE ASSUMPTION THE S4 PROTOTYPE MUST MEASURE on 200 tickets.</t>
        </is>
      </c>
      <c r="H22" s="95" t="inlineStr">
        <is>
          <t>your guess: 30–80 %</t>
        </is>
      </c>
    </row>
    <row r="23" ht="15" customHeight="1" s="68">
      <c r="A23" s="88">
        <f>"   "&amp;TRIM($A$15)</f>
        <v/>
      </c>
      <c r="B23" s="82" t="inlineStr">
        <is>
          <t>share</t>
        </is>
      </c>
      <c r="C23" s="94" t="n">
        <v>0.28</v>
      </c>
      <c r="D23" s="94" t="n">
        <v>0.38</v>
      </c>
      <c r="E23" s="94" t="n">
        <v>0.5</v>
      </c>
      <c r="F23" s="84" t="inlineStr">
        <is>
          <t>guess</t>
        </is>
      </c>
      <c r="G23" s="85" t="inlineStr">
        <is>
          <t>NOT full deflection: in this band the agent prepares the decision and a human approves it (L2). Expressed as ticket-equivalents: 0.55 of cases x 0.70 of handling time removed = 0.38. The approval step is never removed.</t>
        </is>
      </c>
      <c r="H23" s="95" t="inlineStr">
        <is>
          <t>your guess: lower — harder questions</t>
        </is>
      </c>
    </row>
    <row r="24" ht="15" customHeight="1" s="68">
      <c r="A24" s="88">
        <f>"   "&amp;TRIM($A$16)</f>
        <v/>
      </c>
      <c r="B24" s="82" t="inlineStr">
        <is>
          <t>share</t>
        </is>
      </c>
      <c r="C24" s="94" t="n">
        <v>0.1</v>
      </c>
      <c r="D24" s="94" t="n">
        <v>0.15</v>
      </c>
      <c r="E24" s="94" t="n">
        <v>0.2</v>
      </c>
      <c r="F24" s="84" t="inlineStr">
        <is>
          <t>guess</t>
        </is>
      </c>
      <c r="G24" s="85" t="inlineStr">
        <is>
          <t>Above €100 the agent only recommends (L1) and the human decides, so almost no work is removed. Excluded from scope (row 36).</t>
        </is>
      </c>
      <c r="H24" s="95" t="inlineStr">
        <is>
          <t>your guess</t>
        </is>
      </c>
    </row>
    <row r="25" ht="15" customHeight="1" s="68">
      <c r="A25" s="88" t="inlineStr">
        <is>
          <t>Error rate — share of AI answers that are wrong</t>
        </is>
      </c>
    </row>
    <row r="26" ht="15" customHeight="1" s="68">
      <c r="A26" s="82">
        <f>"   "&amp;TRIM($A$14)</f>
        <v/>
      </c>
      <c r="B26" s="82" t="inlineStr">
        <is>
          <t>share</t>
        </is>
      </c>
      <c r="C26" s="94" t="n">
        <v>0.1</v>
      </c>
      <c r="D26" s="94" t="n">
        <v>0.06</v>
      </c>
      <c r="E26" s="94" t="n">
        <v>0.03</v>
      </c>
      <c r="F26" s="84" t="inlineStr">
        <is>
          <t>analogy</t>
        </is>
      </c>
      <c r="G26" s="85" t="inlineStr">
        <is>
          <t>Share of agent decisions that are wrong in this band. Placeholder until the S5 eval-set exists. Pessimistic = higher error rate.</t>
        </is>
      </c>
      <c r="H26" s="95" t="n">
        <v>0.04</v>
      </c>
    </row>
    <row r="27" ht="15" customHeight="1" s="68">
      <c r="A27" s="82">
        <f>"   "&amp;TRIM($A$15)</f>
        <v/>
      </c>
      <c r="B27" s="82" t="inlineStr">
        <is>
          <t>share</t>
        </is>
      </c>
      <c r="C27" s="94" t="n">
        <v>0.05</v>
      </c>
      <c r="D27" s="94" t="n">
        <v>0.03</v>
      </c>
      <c r="E27" s="94" t="n">
        <v>0.015</v>
      </c>
      <c r="F27" s="84" t="inlineStr">
        <is>
          <t>analogy</t>
        </is>
      </c>
      <c r="G27" s="85" t="inlineStr">
        <is>
          <t>Lower effective error rate than the band above: a human approves every decision here, so most wrong answers are caught before execution. What is counted is what the approver rubber-stamps.</t>
        </is>
      </c>
      <c r="H27" s="95" t="n">
        <v>0.06</v>
      </c>
    </row>
    <row r="28" ht="15" customHeight="1" s="68">
      <c r="A28" s="82">
        <f>"   "&amp;TRIM($A$16)</f>
        <v/>
      </c>
      <c r="B28" s="82" t="inlineStr">
        <is>
          <t>share</t>
        </is>
      </c>
      <c r="C28" s="94" t="n">
        <v>0.06</v>
      </c>
      <c r="D28" s="94" t="n">
        <v>0.04</v>
      </c>
      <c r="E28" s="94" t="n">
        <v>0.02</v>
      </c>
      <c r="F28" s="84" t="inlineStr">
        <is>
          <t>analogy</t>
        </is>
      </c>
      <c r="G28" s="85" t="inlineStr">
        <is>
          <t>Excluded from scope; filled so the sheet computes.</t>
        </is>
      </c>
      <c r="H28" s="95" t="n">
        <v>0.05</v>
      </c>
    </row>
    <row r="29" ht="15" customHeight="1" s="68">
      <c r="A29" s="88" t="inlineStr">
        <is>
          <t>Cost of one wrong answer</t>
        </is>
      </c>
    </row>
    <row r="30" ht="21.75" customHeight="1" s="68">
      <c r="A30" s="88">
        <f>"   "&amp;TRIM($A$14)</f>
        <v/>
      </c>
      <c r="B30" s="82" t="inlineStr">
        <is>
          <t>€ / error</t>
        </is>
      </c>
      <c r="C30" s="87" t="n">
        <v>45</v>
      </c>
      <c r="D30" s="87" t="n">
        <v>25</v>
      </c>
      <c r="E30" s="87" t="n">
        <v>14</v>
      </c>
      <c r="F30" s="84" t="inlineStr">
        <is>
          <t>guess</t>
        </is>
      </c>
      <c r="G30" s="85" t="inlineStr">
        <is>
          <t>Cost of ONE wrong answer. Floor = €7, the human ticket the error brings back (the saving we had already counted). Above it: unrecovered over-refund on an average sub-€20 claim (~€12), plus a churn tail on a wrongful refusal. An over-refund fails silently: nobody opens a ticket to complain about being paid.</t>
        </is>
      </c>
      <c r="H30" s="96" t="inlineStr">
        <is>
          <t>a few € (asks again)</t>
        </is>
      </c>
    </row>
    <row r="31" ht="21.75" customHeight="1" s="68">
      <c r="A31" s="88">
        <f>"   "&amp;TRIM($A$15)</f>
        <v/>
      </c>
      <c r="B31" s="82" t="inlineStr">
        <is>
          <t>€ / error</t>
        </is>
      </c>
      <c r="C31" s="87" t="n">
        <v>110</v>
      </c>
      <c r="D31" s="87" t="n">
        <v>55</v>
      </c>
      <c r="E31" s="87" t="n">
        <v>30</v>
      </c>
      <c r="F31" s="84" t="inlineStr">
        <is>
          <t>guess</t>
        </is>
      </c>
      <c r="G31" s="85" t="inlineStr">
        <is>
          <t>Average amount in this band ~€55. Floor €7 plus the share of the amount lost when a wrong prepared decision is approved and executed. Wrongful refusals in this band carry more churn risk: the merchant is arguing over real money.</t>
        </is>
      </c>
      <c r="H31" s="96" t="inlineStr">
        <is>
          <t>hundreds of € (penalty)</t>
        </is>
      </c>
    </row>
    <row r="32" ht="21.75" customHeight="1" s="68">
      <c r="A32" s="88">
        <f>"   "&amp;TRIM($A$16)</f>
        <v/>
      </c>
      <c r="B32" s="82" t="inlineStr">
        <is>
          <t>€ / error</t>
        </is>
      </c>
      <c r="C32" s="87" t="n">
        <v>400</v>
      </c>
      <c r="D32" s="87" t="n">
        <v>200</v>
      </c>
      <c r="E32" s="87" t="n">
        <v>90</v>
      </c>
      <c r="F32" s="84" t="inlineStr">
        <is>
          <t>guess</t>
        </is>
      </c>
      <c r="G32" s="85" t="inlineStr">
        <is>
          <t>Average amount in this band ~€250. Excluded from scope; filled so the sheet computes.</t>
        </is>
      </c>
      <c r="H32" s="96" t="inlineStr">
        <is>
          <t>tens of € (refund)</t>
        </is>
      </c>
    </row>
    <row r="33" ht="15" customHeight="1" s="68">
      <c r="A33" s="88" t="inlineStr">
        <is>
          <t>Include category in scope? (1 = yes, 0 = no)</t>
        </is>
      </c>
    </row>
    <row r="34" ht="15" customHeight="1" s="68">
      <c r="A34" s="82">
        <f>"   "&amp;TRIM($A$14)</f>
        <v/>
      </c>
      <c r="B34" s="82" t="inlineStr">
        <is>
          <t>1/0</t>
        </is>
      </c>
      <c r="C34" s="83" t="n">
        <v>1</v>
      </c>
      <c r="D34" s="83" t="n">
        <v>1</v>
      </c>
      <c r="E34" s="83" t="n">
        <v>1</v>
      </c>
      <c r="F34" s="84" t="inlineStr">
        <is>
          <t>decision</t>
        </is>
      </c>
      <c r="G34" s="85" t="inlineStr">
        <is>
          <t>In scope. This is the band the project exists for.</t>
        </is>
      </c>
      <c r="H34" s="86" t="n">
        <v>1</v>
      </c>
    </row>
    <row r="35" ht="15" customHeight="1" s="68">
      <c r="A35" s="82">
        <f>"   "&amp;TRIM($A$15)</f>
        <v/>
      </c>
      <c r="B35" s="82" t="inlineStr">
        <is>
          <t>1/0</t>
        </is>
      </c>
      <c r="C35" s="83" t="n">
        <v>1</v>
      </c>
      <c r="D35" s="83" t="n">
        <v>1</v>
      </c>
      <c r="E35" s="83" t="n">
        <v>1</v>
      </c>
      <c r="F35" s="84" t="inlineStr">
        <is>
          <t>decision</t>
        </is>
      </c>
      <c r="G35" s="85" t="inlineStr">
        <is>
          <t>In scope, but at L2 only: the agent prepares, a human approves. Kept because the preparation work is real even when the approval is not removed.</t>
        </is>
      </c>
      <c r="H35" s="86" t="n">
        <v>1</v>
      </c>
    </row>
    <row r="36" ht="15" customHeight="1" s="68">
      <c r="A36" s="82">
        <f>"   "&amp;TRIM($A$16)</f>
        <v/>
      </c>
      <c r="B36" s="82" t="inlineStr">
        <is>
          <t>1/0</t>
        </is>
      </c>
      <c r="C36" s="83" t="n">
        <v>0</v>
      </c>
      <c r="D36" s="83" t="n">
        <v>0</v>
      </c>
      <c r="E36" s="83" t="n">
        <v>0</v>
      </c>
      <c r="F36" s="84" t="inlineStr">
        <is>
          <t>decision</t>
        </is>
      </c>
      <c r="G36" s="85" t="inlineStr">
        <is>
          <t>EXCLUDED. 40% automatable at best, the agent only recommends (L1) so almost no work is removed, and a wrong recommendation here carries the largest unrecoverable amount. Little upside, worst tail.</t>
        </is>
      </c>
      <c r="H36" s="86" t="n">
        <v>1</v>
      </c>
    </row>
    <row r="37"/>
    <row r="38" ht="15" customHeight="1" s="68">
      <c r="A38" s="81" t="inlineStr">
        <is>
          <t>ADOPTION RAMP — share of deflectable volume actually handled, by quarter</t>
        </is>
      </c>
    </row>
    <row r="39" ht="21.75" customHeight="1" s="68">
      <c r="A39" s="82" t="inlineStr">
        <is>
          <t xml:space="preserve">   Q1</t>
        </is>
      </c>
      <c r="B39" s="82" t="inlineStr">
        <is>
          <t>share</t>
        </is>
      </c>
      <c r="C39" s="94" t="n">
        <v>0.1</v>
      </c>
      <c r="D39" s="94" t="n">
        <v>0.2</v>
      </c>
      <c r="E39" s="94" t="n">
        <v>0.3</v>
      </c>
      <c r="F39" s="84" t="inlineStr">
        <is>
          <t>decision</t>
        </is>
      </c>
      <c r="G39" s="85" t="inlineStr">
        <is>
          <t>Staged roll-out: a narrow merchant cohort first, each widening conditional on the over-refund guardrail holding. Never 100% in year 1.</t>
        </is>
      </c>
      <c r="H39" s="95" t="n">
        <v>0.2</v>
      </c>
    </row>
    <row r="40" ht="21.75" customHeight="1" s="68">
      <c r="A40" s="82" t="inlineStr">
        <is>
          <t xml:space="preserve">   Q2</t>
        </is>
      </c>
      <c r="B40" s="82" t="inlineStr">
        <is>
          <t>share</t>
        </is>
      </c>
      <c r="C40" s="94" t="n">
        <v>0.25</v>
      </c>
      <c r="D40" s="94" t="n">
        <v>0.4</v>
      </c>
      <c r="E40" s="94" t="n">
        <v>0.5</v>
      </c>
      <c r="F40" s="84" t="inlineStr">
        <is>
          <t>decision</t>
        </is>
      </c>
      <c r="G40" s="85" t="inlineStr">
        <is>
          <t>Staged roll-out: a narrow merchant cohort first, each widening conditional on the over-refund guardrail holding. Never 100% in year 1.</t>
        </is>
      </c>
      <c r="H40" s="95" t="n">
        <v>0.4</v>
      </c>
    </row>
    <row r="41" ht="21.75" customHeight="1" s="68">
      <c r="A41" s="82" t="inlineStr">
        <is>
          <t xml:space="preserve">   Q3</t>
        </is>
      </c>
      <c r="B41" s="82" t="inlineStr">
        <is>
          <t>share</t>
        </is>
      </c>
      <c r="C41" s="94" t="n">
        <v>0.4</v>
      </c>
      <c r="D41" s="94" t="n">
        <v>0.55</v>
      </c>
      <c r="E41" s="94" t="n">
        <v>0.65</v>
      </c>
      <c r="F41" s="84" t="inlineStr">
        <is>
          <t>decision</t>
        </is>
      </c>
      <c r="G41" s="85" t="inlineStr">
        <is>
          <t>Staged roll-out: a narrow merchant cohort first, each widening conditional on the over-refund guardrail holding. Never 100% in year 1.</t>
        </is>
      </c>
      <c r="H41" s="95" t="n">
        <v>0.6</v>
      </c>
    </row>
    <row r="42" ht="21.75" customHeight="1" s="68">
      <c r="A42" s="82" t="inlineStr">
        <is>
          <t xml:space="preserve">   Q4</t>
        </is>
      </c>
      <c r="B42" s="82" t="inlineStr">
        <is>
          <t>share</t>
        </is>
      </c>
      <c r="C42" s="94" t="n">
        <v>0.55</v>
      </c>
      <c r="D42" s="94" t="n">
        <v>0.7</v>
      </c>
      <c r="E42" s="94" t="n">
        <v>0.8</v>
      </c>
      <c r="F42" s="84" t="inlineStr">
        <is>
          <t>decision</t>
        </is>
      </c>
      <c r="G42" s="85" t="inlineStr">
        <is>
          <t>Staged roll-out: a narrow merchant cohort first, each widening conditional on the over-refund guardrail holding. Never 100% in year 1.</t>
        </is>
      </c>
      <c r="H42" s="95" t="n">
        <v>0.7</v>
      </c>
    </row>
    <row r="43"/>
    <row r="44" ht="15" customHeight="1" s="68">
      <c r="A44" s="81" t="inlineStr">
        <is>
          <t>AI HANDLING COST</t>
        </is>
      </c>
    </row>
    <row r="45" ht="21.75" customHeight="1" s="68">
      <c r="A45" s="82" t="inlineStr">
        <is>
          <t>AI cost per conversation (tokens, inference)</t>
        </is>
      </c>
      <c r="B45" s="82" t="inlineStr">
        <is>
          <t>€ / conv.</t>
        </is>
      </c>
      <c r="C45" s="97" t="n">
        <v>0.2</v>
      </c>
      <c r="D45" s="97" t="n">
        <v>0.08</v>
      </c>
      <c r="E45" s="97" t="n">
        <v>0.03</v>
      </c>
      <c r="F45" s="84" t="inlineStr">
        <is>
          <t>measured</t>
        </is>
      </c>
      <c r="G45" s="85" t="inlineStr">
        <is>
          <t>Per conversation: ~8 turns x (2,500 in + 400 out tokens) at published list prices, checked 23 October 2026. Recheck at every model change. Pessimistic = higher price.</t>
        </is>
      </c>
      <c r="H45" s="89" t="n">
        <v>0.08</v>
      </c>
    </row>
    <row r="46" ht="15" customHeight="1" s="68">
      <c r="A46" s="82" t="inlineStr">
        <is>
          <t>Retry / escalation overhead</t>
        </is>
      </c>
      <c r="B46" s="82" t="inlineStr">
        <is>
          <t>×</t>
        </is>
      </c>
      <c r="C46" s="98" t="n">
        <v>1.3</v>
      </c>
      <c r="D46" s="98" t="n">
        <v>1.2</v>
      </c>
      <c r="E46" s="98" t="n">
        <v>1.1</v>
      </c>
      <c r="F46" s="84" t="inlineStr">
        <is>
          <t>analogy</t>
        </is>
      </c>
      <c r="G46" s="85" t="inlineStr">
        <is>
          <t>Conversations needing a second attempt or a hand-off still consume tokens.</t>
        </is>
      </c>
      <c r="H46" s="99" t="n">
        <v>1.2</v>
      </c>
    </row>
    <row r="47"/>
    <row r="48" ht="15" customHeight="1" s="68">
      <c r="A48" s="81" t="inlineStr">
        <is>
          <t>FIXED AND SEMI-FIXED COSTS</t>
        </is>
      </c>
    </row>
    <row r="49" ht="15" customHeight="1" s="68">
      <c r="A49" s="82" t="inlineStr">
        <is>
          <t>Integration (CRM, knowledge base, auth, logging) — one-off</t>
        </is>
      </c>
      <c r="B49" s="82" t="inlineStr">
        <is>
          <t>€</t>
        </is>
      </c>
      <c r="C49" s="87" t="n">
        <v>170000</v>
      </c>
      <c r="D49" s="87" t="n">
        <v>110000</v>
      </c>
      <c r="E49" s="87" t="n">
        <v>75000</v>
      </c>
      <c r="F49" s="84" t="inlineStr">
        <is>
          <t>guess</t>
        </is>
      </c>
      <c r="G49" s="85" t="inlineStr">
        <is>
          <t>One-off: carrier tracking APIs, refund-policy knowledge base, refund execution hooks into billing, auth, and the decision-receipt log. Higher than a read-only assistant because this one moves money. To be replaced by vendor quotes.</t>
        </is>
      </c>
      <c r="H49" s="96" t="n">
        <v>90000</v>
      </c>
    </row>
    <row r="50" ht="15" customHeight="1" s="68">
      <c r="A50" s="82" t="inlineStr">
        <is>
          <t>Amortisation period</t>
        </is>
      </c>
      <c r="B50" s="82" t="inlineStr">
        <is>
          <t>years</t>
        </is>
      </c>
      <c r="C50" s="83" t="n">
        <v>3</v>
      </c>
      <c r="D50" s="83" t="n">
        <v>3</v>
      </c>
      <c r="E50" s="83" t="n">
        <v>3</v>
      </c>
      <c r="F50" s="84" t="inlineStr">
        <is>
          <t>decision</t>
        </is>
      </c>
      <c r="G50" s="85" t="inlineStr">
        <is>
          <t>Standard amortisation period.</t>
        </is>
      </c>
      <c r="H50" s="86" t="n">
        <v>3</v>
      </c>
    </row>
    <row r="51" ht="15" customHeight="1" s="68">
      <c r="A51" s="82" t="inlineStr">
        <is>
          <t>Evaluation — eval-set upkeep and human graders</t>
        </is>
      </c>
      <c r="B51" s="82" t="inlineStr">
        <is>
          <t>€ / year</t>
        </is>
      </c>
      <c r="C51" s="87" t="n">
        <v>55000</v>
      </c>
      <c r="D51" s="87" t="n">
        <v>35000</v>
      </c>
      <c r="E51" s="87" t="n">
        <v>22000</v>
      </c>
      <c r="F51" s="84" t="inlineStr">
        <is>
          <t>guess</t>
        </is>
      </c>
      <c r="G51" s="85" t="inlineStr">
        <is>
          <t>Eval-set upkeep and human graders. Must carry a dedicated wrongful-refusal slice, which is the failure mode nobody reports.</t>
        </is>
      </c>
      <c r="H51" s="96" t="n">
        <v>40000</v>
      </c>
    </row>
    <row r="52" ht="15" customHeight="1" s="68">
      <c r="A52" s="82" t="inlineStr">
        <is>
          <t>Supervision — humans in the loop (L2)</t>
        </is>
      </c>
      <c r="B52" s="82" t="inlineStr">
        <is>
          <t>FTE</t>
        </is>
      </c>
      <c r="C52" s="98" t="n">
        <v>2</v>
      </c>
      <c r="D52" s="98" t="n">
        <v>1</v>
      </c>
      <c r="E52" s="98" t="n">
        <v>0.5</v>
      </c>
      <c r="F52" s="84" t="inlineStr">
        <is>
          <t>decision</t>
        </is>
      </c>
      <c r="G52" s="85" t="inlineStr">
        <is>
          <t>The L2 approver for the €20-100 band plus the weekly sample review of L4 decisions. The human in the loop is a cost line, not free.</t>
        </is>
      </c>
      <c r="H52" s="86" t="n">
        <v>2</v>
      </c>
    </row>
    <row r="53" ht="15" customHeight="1" s="68">
      <c r="A53" s="82" t="inlineStr">
        <is>
          <t>Cost per supervision FTE</t>
        </is>
      </c>
      <c r="B53" s="82" t="inlineStr">
        <is>
          <t>€ / year</t>
        </is>
      </c>
      <c r="C53" s="87" t="n">
        <v>48000</v>
      </c>
      <c r="D53" s="87" t="n">
        <v>48000</v>
      </c>
      <c r="E53" s="87" t="n">
        <v>48000</v>
      </c>
      <c r="F53" s="84" t="inlineStr">
        <is>
          <t>analogy</t>
        </is>
      </c>
      <c r="G53" s="85" t="inlineStr">
        <is>
          <t>All-in annual cost of one supervision FTE.</t>
        </is>
      </c>
      <c r="H53" s="96" t="n">
        <v>55000</v>
      </c>
    </row>
    <row r="54" ht="15" customHeight="1" s="68">
      <c r="A54" s="82" t="inlineStr">
        <is>
          <t>Monitoring and on-call</t>
        </is>
      </c>
      <c r="B54" s="82" t="inlineStr">
        <is>
          <t>€ / year</t>
        </is>
      </c>
      <c r="C54" s="87" t="n">
        <v>35000</v>
      </c>
      <c r="D54" s="87" t="n">
        <v>20000</v>
      </c>
      <c r="E54" s="87" t="n">
        <v>12000</v>
      </c>
      <c r="F54" s="84" t="inlineStr">
        <is>
          <t>guess</t>
        </is>
      </c>
      <c r="G54" s="85" t="inlineStr">
        <is>
          <t>Monitoring and on-call, including the daily reconciliation of refunded amounts against the pre-agent baseline, which is the only detector for the silent over-refund failure.</t>
        </is>
      </c>
      <c r="H54" s="96" t="n">
        <v>25000</v>
      </c>
    </row>
    <row r="55" ht="15" customHeight="1" s="68">
      <c r="A55" s="82" t="inlineStr">
        <is>
          <t>Model-version changes per year</t>
        </is>
      </c>
      <c r="B55" s="82" t="inlineStr">
        <is>
          <t>changes</t>
        </is>
      </c>
      <c r="C55" s="83" t="n">
        <v>4</v>
      </c>
      <c r="D55" s="83" t="n">
        <v>4</v>
      </c>
      <c r="E55" s="83" t="n">
        <v>4</v>
      </c>
      <c r="F55" s="84" t="inlineStr">
        <is>
          <t>analogy</t>
        </is>
      </c>
      <c r="G55" s="85" t="inlineStr">
        <is>
          <t>Each change replays the eval-set before the agent is allowed to move money again.</t>
        </is>
      </c>
      <c r="H55" s="86" t="n">
        <v>4</v>
      </c>
    </row>
    <row r="56" ht="15" customHeight="1" s="68">
      <c r="A56" s="82" t="inlineStr">
        <is>
          <t>Re-evaluation cost per model change</t>
        </is>
      </c>
      <c r="B56" s="82" t="inlineStr">
        <is>
          <t>€ / change</t>
        </is>
      </c>
      <c r="C56" s="87" t="n">
        <v>9000</v>
      </c>
      <c r="D56" s="87" t="n">
        <v>6000</v>
      </c>
      <c r="E56" s="87" t="n">
        <v>4000</v>
      </c>
      <c r="F56" s="84" t="inlineStr">
        <is>
          <t>guess</t>
        </is>
      </c>
      <c r="G56" s="85" t="inlineStr">
        <is>
          <t>Higher per change than a read-only assistant: the eval-set covers money-moving decisions and needs human adjudication.</t>
        </is>
      </c>
      <c r="H56" s="96" t="n">
        <v>5000</v>
      </c>
    </row>
    <row r="57"/>
    <row r="58" ht="15" customHeight="1" s="68">
      <c r="A58" s="81" t="inlineStr">
        <is>
          <t>THE TWO COMPARISONS</t>
        </is>
      </c>
    </row>
    <row r="59" ht="15" customHeight="1" s="68">
      <c r="A59" s="88" t="inlineStr">
        <is>
          <t>Do-nothing: yearly efficiency gain of the current process</t>
        </is>
      </c>
      <c r="B59" s="82" t="inlineStr">
        <is>
          <t>share</t>
        </is>
      </c>
      <c r="C59" s="94" t="n">
        <v>0.02</v>
      </c>
      <c r="D59" s="94" t="n">
        <v>0.04</v>
      </c>
      <c r="E59" s="94" t="n">
        <v>0.05</v>
      </c>
      <c r="F59" s="84" t="inlineStr">
        <is>
          <t>analogy</t>
        </is>
      </c>
      <c r="G59" s="85" t="inlineStr">
        <is>
          <t>Do-nothing is not zero: agents get faster on a repetitive task, the refund policy documentation improves, macros accumulate. 2-5% a year.</t>
        </is>
      </c>
      <c r="H59" s="95" t="n">
        <v>0.05</v>
      </c>
    </row>
    <row r="60" ht="15" customHeight="1" s="68">
      <c r="A60" s="88" t="inlineStr">
        <is>
          <t>Next-best project — net annual value (the hurdle)</t>
        </is>
      </c>
      <c r="B60" s="82" t="inlineStr">
        <is>
          <t>€ / year</t>
        </is>
      </c>
      <c r="C60" s="87" t="n">
        <v>180000</v>
      </c>
      <c r="D60" s="87" t="n">
        <v>180000</v>
      </c>
      <c r="E60" s="87" t="n">
        <v>180000</v>
      </c>
      <c r="F60" s="84" t="inlineStr">
        <is>
          <t>decision</t>
        </is>
      </c>
      <c r="G60" s="85" t="inlineStr">
        <is>
          <t>THE HURDLE, named: a self-serve refund-status page for merchants. It removes the 'where is my refund' tickets without deciding anything (~2,000 a month x €7 x 12 = ~€168k, rounded to €180k with the deflection of duplicate chasers). CAVEAT: this figure is posed, not built bottom-up like our own project. It deserves the same discipline before it decides anything.</t>
        </is>
      </c>
      <c r="H60" s="96" t="n">
        <v>300000</v>
      </c>
    </row>
    <row r="61"/>
    <row r="62" ht="15" customHeight="1" s="68">
      <c r="A62" s="81" t="inlineStr">
        <is>
          <t>SCENARIO PROBABILITIES</t>
        </is>
      </c>
    </row>
    <row r="63" ht="15" customHeight="1" s="68">
      <c r="A63" s="88" t="inlineStr">
        <is>
          <t>Probability of each scenario</t>
        </is>
      </c>
      <c r="B63" s="82" t="inlineStr">
        <is>
          <t>p</t>
        </is>
      </c>
      <c r="C63" s="98" t="n">
        <v>0.25</v>
      </c>
      <c r="D63" s="98" t="n">
        <v>0.5</v>
      </c>
      <c r="E63" s="98" t="n">
        <v>0.25</v>
      </c>
      <c r="F63" s="84" t="inlineStr">
        <is>
          <t>judgement</t>
        </is>
      </c>
      <c r="G63" s="85" t="inlineStr">
        <is>
          <t>Half the weight on the base case, the rest split symmetrically. We considered over-weighting the pessimistic case, because the refund-amount split (rows 14-16) is an unmeasured guess that drives everything; we kept it symmetric and named the risk instead.</t>
        </is>
      </c>
      <c r="H63" s="99" t="n">
        <v>0.5</v>
      </c>
    </row>
    <row r="64" ht="15" customHeight="1" s="68">
      <c r="A64" s="82" t="inlineStr">
        <is>
          <t>Check — probabilities sum to 1</t>
        </is>
      </c>
      <c r="D64" s="100">
        <f>SUM(C63:E63)</f>
        <v/>
      </c>
      <c r="G64" s="91" t="inlineStr">
        <is>
          <t>formula</t>
        </is>
      </c>
    </row>
    <row r="65"/>
    <row r="66" ht="15" customHeight="1" s="68">
      <c r="A66" s="81" t="inlineStr">
        <is>
          <t>OTHER VALUE — when your agent creates value beyond the work it removes (revenue retained, penalties avoided, sales…)</t>
        </is>
      </c>
    </row>
    <row r="67" ht="15" customHeight="1" s="68">
      <c r="A67" s="93" t="inlineStr">
        <is>
          <t>Other value 1 — merchant retention from faster refunds</t>
        </is>
      </c>
      <c r="B67" s="101" t="inlineStr">
        <is>
          <t>€ / yr</t>
        </is>
      </c>
      <c r="C67" s="102" t="n">
        <v>6000</v>
      </c>
      <c r="D67" s="102" t="n">
        <v>12000</v>
      </c>
      <c r="E67" s="102" t="n">
        <v>20000</v>
      </c>
      <c r="F67" s="93" t="inlineStr">
        <is>
          <t>guess</t>
        </is>
      </c>
      <c r="G67" s="103" t="inlineStr">
        <is>
          <t>15,000 merchants x 2% who file a disputed refund in a year (300) x 10% who churn over the 3-day wait (30) x €400 of annual revenue per merchant = €12,000. Every term is a guess. Deliberately sized small: we would rather under-claim this line than inflate the case.</t>
        </is>
      </c>
    </row>
    <row r="68" ht="15" customHeight="1" s="68">
      <c r="A68" s="93" t="inlineStr">
        <is>
          <t>Other value 2 — not used</t>
        </is>
      </c>
      <c r="B68" s="101" t="inlineStr">
        <is>
          <t>€ / yr</t>
        </is>
      </c>
      <c r="C68" s="104" t="n"/>
      <c r="D68" s="104" t="n"/>
      <c r="E68" s="104" t="n"/>
      <c r="F68" s="93" t="n"/>
      <c r="G68" s="103" t="inlineStr">
        <is>
          <t>Left empty on purpose. We have no SLA penalties on refunds and no data linking refund wait time to churn beyond the line above.</t>
        </is>
      </c>
    </row>
    <row r="69"/>
    <row r="70" ht="15" customHeight="1" s="68">
      <c r="A70" s="81" t="inlineStr">
        <is>
          <t>Sources: list here every report, page or comparable you used (title, date, link)</t>
        </is>
      </c>
    </row>
    <row r="71">
      <c r="A71" s="67" t="inlineStr">
        <is>
          <t>P4 proposal, Data &amp; AI Product project document, Albert School MSA-DAT07-04 (2026) — 15,000 merchants, 25,000 tickets/month, 30% label refunds.</t>
        </is>
      </c>
    </row>
    <row r="72">
      <c r="A72" s="67" t="inlineStr">
        <is>
          <t>Our own 01_problem_statement.md, group 5, commit 45c8209 (15 Oct 2026) — €5/ticket, ~3-day wait, ~70% of sub-€20 cases rule-decidable.</t>
        </is>
      </c>
    </row>
    <row r="73">
      <c r="A73" s="67" t="inlineStr">
        <is>
          <t>Session 2 slides, Albert School MSA-DAT07-04 — orders of magnitude: a tier-1 human ticket €5-15 all-in, an LLM conversation €0.02-0.20.</t>
        </is>
      </c>
    </row>
    <row r="74">
      <c r="A74" s="67" t="inlineStr">
        <is>
          <t>Intercom Fin public pricing, from $0.99 per resolution (checked 23 October 2026) — used for the break-even on the Build or buy tab.</t>
        </is>
      </c>
    </row>
    <row r="75">
      <c r="A75" s="67" t="inlineStr">
        <is>
          <t>Moffatt v. Air Canada, 2024 BCCRT 149 — liability for an agent's wrong answer sits with the company, not the vendor or the model.</t>
        </is>
      </c>
    </row>
    <row r="76">
      <c r="A76" s="67" t="inlineStr">
        <is>
          <t>Klarna press release (27 Feb 2024) and Bloomberg (8 May 2025) — gross value announced, net value revised; the reason this sheet is net.</t>
        </is>
      </c>
    </row>
    <row r="77">
      <c r="A77" s="67" t="inlineStr">
        <is>
          <t>Zillow Group, Form 8-K (2 Nov 2021) — why three scenarios rather than one average.</t>
        </is>
      </c>
    </row>
  </sheetData>
  <mergeCells count="1">
    <mergeCell ref="A2:G2"/>
  </mergeCells>
  <dataValidations count="1">
    <dataValidation sqref="F6:F9 F14:F16 F18:F20 F22:F24 F26:F28 F30:F32 F34:F36 F39:F42 F45:F46 F49:F56 F59:F60 F63 F67:F68" showDropDown="0" showInputMessage="0" showErrorMessage="0" allowBlank="1" type="list" errorStyle="stop" operator="between">
      <formula1>"measured,analogy,guess,guess → S4 test,decision,judgement"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2" customWidth="1" style="67" min="1" max="1"/>
    <col width="12" customWidth="1" style="67" min="2" max="2"/>
    <col width="15" customWidth="1" style="67" min="3" max="5"/>
    <col width="60" customWidth="1" style="67" min="6" max="6"/>
  </cols>
  <sheetData>
    <row r="1" ht="17.25" customHeight="1" s="68">
      <c r="A1" s="77" t="inlineStr">
        <is>
          <t>02_sizing — your agent · Upside (bottom-up tree per category, year 1)</t>
        </is>
      </c>
    </row>
    <row r="2" ht="15" customHeight="1" s="68">
      <c r="A2" s="105" t="inlineStr">
        <is>
          <t>All cells are formulas linked to Inputs (green = link to another sheet). Read each block top to bottom: it is the tree from the S2 slides, per ticket category.</t>
        </is>
      </c>
    </row>
    <row r="3"/>
    <row r="4" ht="27.75" customHeight="1" s="68">
      <c r="A4" s="79" t="inlineStr">
        <is>
          <t>Line</t>
        </is>
      </c>
      <c r="B4" s="79" t="inlineStr">
        <is>
          <t>Unit</t>
        </is>
      </c>
      <c r="C4" s="79" t="inlineStr">
        <is>
          <t>Low</t>
        </is>
      </c>
      <c r="D4" s="79" t="inlineStr">
        <is>
          <t>Base</t>
        </is>
      </c>
      <c r="E4" s="79" t="inlineStr">
        <is>
          <t>High</t>
        </is>
      </c>
      <c r="F4" s="79" t="inlineStr">
        <is>
          <t>How it is computed</t>
        </is>
      </c>
    </row>
    <row r="5" ht="15" customHeight="1" s="68">
      <c r="A5" s="88" t="inlineStr">
        <is>
          <t>Year-1 adoption factor (average of the four quarters)</t>
        </is>
      </c>
      <c r="C5" s="106">
        <f>IFERROR(AVERAGE(Inputs!C39:C42),0)</f>
        <v/>
      </c>
      <c r="D5" s="106">
        <f>IFERROR(AVERAGE(Inputs!D39:D42),0)</f>
        <v/>
      </c>
      <c r="E5" s="106">
        <f>IFERROR(AVERAGE(Inputs!E39:E42),0)</f>
        <v/>
      </c>
      <c r="F5" s="91" t="inlineStr">
        <is>
          <t>→ AVERAGE(Inputs ramp Q1..Q4)</t>
        </is>
      </c>
    </row>
    <row r="6"/>
    <row r="7" ht="15" customHeight="1" s="68">
      <c r="A7" s="81">
        <f>UPPER(TRIM(Inputs!A14))</f>
        <v/>
      </c>
    </row>
    <row r="8" ht="15" customHeight="1" s="68">
      <c r="A8" s="82" t="inlineStr">
        <is>
          <t>Tickets per month in this category</t>
        </is>
      </c>
      <c r="B8" s="82" t="inlineStr">
        <is>
          <t>tickets</t>
        </is>
      </c>
      <c r="C8" s="107">
        <f>Inputs!C$6*Inputs!C14</f>
        <v/>
      </c>
      <c r="D8" s="107">
        <f>Inputs!D$6*Inputs!D14</f>
        <v/>
      </c>
      <c r="E8" s="107">
        <f>Inputs!E$6*Inputs!E14</f>
        <v/>
      </c>
      <c r="F8" s="85" t="inlineStr">
        <is>
          <t>→ tickets/month × share</t>
        </is>
      </c>
    </row>
    <row r="9" ht="15" customHeight="1" s="68">
      <c r="A9" s="82" t="inlineStr">
        <is>
          <t>Automatable tickets per month</t>
        </is>
      </c>
      <c r="B9" s="82" t="inlineStr">
        <is>
          <t>tickets</t>
        </is>
      </c>
      <c r="C9" s="108">
        <f>C8*Inputs!C18</f>
        <v/>
      </c>
      <c r="D9" s="108">
        <f>D8*Inputs!D18</f>
        <v/>
      </c>
      <c r="E9" s="108">
        <f>E8*Inputs!E18</f>
        <v/>
      </c>
      <c r="F9" s="85" t="inlineStr">
        <is>
          <t>× automatable share</t>
        </is>
      </c>
    </row>
    <row r="10" ht="15" customHeight="1" s="68">
      <c r="A10" s="82" t="inlineStr">
        <is>
          <t>Deflected per month at steady state (if in scope)</t>
        </is>
      </c>
      <c r="B10" s="82" t="inlineStr">
        <is>
          <t>tickets</t>
        </is>
      </c>
      <c r="C10" s="108">
        <f>C9*Inputs!C22*Inputs!C34</f>
        <v/>
      </c>
      <c r="D10" s="108">
        <f>D9*Inputs!D22*Inputs!D34</f>
        <v/>
      </c>
      <c r="E10" s="108">
        <f>E9*Inputs!E22*Inputs!E34</f>
        <v/>
      </c>
      <c r="F10" s="85" t="inlineStr">
        <is>
          <t>× deflection realised × include flag</t>
        </is>
      </c>
    </row>
    <row r="11" ht="15" customHeight="1" s="68">
      <c r="A11" s="82" t="inlineStr">
        <is>
          <t>Deflected in year 1, with the adoption ramp</t>
        </is>
      </c>
      <c r="B11" s="82" t="inlineStr">
        <is>
          <t>tickets / yr</t>
        </is>
      </c>
      <c r="C11" s="108">
        <f>C10*12*C$5</f>
        <v/>
      </c>
      <c r="D11" s="108">
        <f>D10*12*D$5</f>
        <v/>
      </c>
      <c r="E11" s="108">
        <f>E10*12*E$5</f>
        <v/>
      </c>
      <c r="F11" s="85" t="inlineStr">
        <is>
          <t>× 12 × year-1 adoption factor</t>
        </is>
      </c>
    </row>
    <row r="12" ht="15" customHeight="1" s="68">
      <c r="A12" s="82" t="inlineStr">
        <is>
          <t>Gross value — human work avoided</t>
        </is>
      </c>
      <c r="B12" s="82" t="inlineStr">
        <is>
          <t>€ / yr</t>
        </is>
      </c>
      <c r="C12" s="109">
        <f>C11*Inputs!C$9</f>
        <v/>
      </c>
      <c r="D12" s="109">
        <f>D11*Inputs!D$9</f>
        <v/>
      </c>
      <c r="E12" s="109">
        <f>E11*Inputs!E$9</f>
        <v/>
      </c>
      <c r="F12" s="85" t="inlineStr">
        <is>
          <t>× fully loaded cost of a human ticket</t>
        </is>
      </c>
    </row>
    <row r="13" ht="15" customHeight="1" s="68">
      <c r="A13" s="82" t="inlineStr">
        <is>
          <t>Expected cost of wrong answers</t>
        </is>
      </c>
      <c r="B13" s="82" t="inlineStr">
        <is>
          <t>€ / yr</t>
        </is>
      </c>
      <c r="C13" s="109">
        <f>C11*Inputs!C26*Inputs!C30</f>
        <v/>
      </c>
      <c r="D13" s="109">
        <f>D11*Inputs!D26*Inputs!D30</f>
        <v/>
      </c>
      <c r="E13" s="109">
        <f>E11*Inputs!E26*Inputs!E30</f>
        <v/>
      </c>
      <c r="F13" s="85" t="inlineStr">
        <is>
          <t>deflected × error rate × cost of one wrong answer — the tail, priced</t>
        </is>
      </c>
    </row>
    <row r="14" ht="15" customHeight="1" s="68">
      <c r="A14" s="82" t="inlineStr">
        <is>
          <t>AI handling cost (tokens, retries)</t>
        </is>
      </c>
      <c r="B14" s="82" t="inlineStr">
        <is>
          <t>€ / yr</t>
        </is>
      </c>
      <c r="C14" s="109">
        <f>C11*Inputs!C$45*Inputs!C$46</f>
        <v/>
      </c>
      <c r="D14" s="109">
        <f>D11*Inputs!D$45*Inputs!D$46</f>
        <v/>
      </c>
      <c r="E14" s="109">
        <f>E11*Inputs!E$45*Inputs!E$46</f>
        <v/>
      </c>
      <c r="F14" s="85" t="inlineStr">
        <is>
          <t>deflected × cost per conversation × retry overhead</t>
        </is>
      </c>
    </row>
    <row r="15" ht="15" customHeight="1" s="68">
      <c r="A15" s="88" t="inlineStr">
        <is>
          <t>Net contribution of this category</t>
        </is>
      </c>
      <c r="B15" s="82" t="inlineStr">
        <is>
          <t>€ / yr</t>
        </is>
      </c>
      <c r="C15" s="110">
        <f>C12-C13-C14</f>
        <v/>
      </c>
      <c r="D15" s="110">
        <f>D12-D13-D14</f>
        <v/>
      </c>
      <c r="E15" s="110">
        <f>E12-E13-E14</f>
        <v/>
      </c>
      <c r="F15" s="85" t="inlineStr">
        <is>
          <t>gross − error cost − AI cost</t>
        </is>
      </c>
    </row>
    <row r="16"/>
    <row r="17" ht="15" customHeight="1" s="68">
      <c r="A17" s="81">
        <f>UPPER(TRIM(Inputs!A15))</f>
        <v/>
      </c>
    </row>
    <row r="18" ht="15" customHeight="1" s="68">
      <c r="A18" s="82" t="inlineStr">
        <is>
          <t>Tickets per month in this category</t>
        </is>
      </c>
      <c r="B18" s="82" t="inlineStr">
        <is>
          <t>tickets</t>
        </is>
      </c>
      <c r="C18" s="107">
        <f>Inputs!C$6*Inputs!C15</f>
        <v/>
      </c>
      <c r="D18" s="107">
        <f>Inputs!D$6*Inputs!D15</f>
        <v/>
      </c>
      <c r="E18" s="107">
        <f>Inputs!E$6*Inputs!E15</f>
        <v/>
      </c>
      <c r="F18" s="85" t="inlineStr">
        <is>
          <t>→ tickets/month × share</t>
        </is>
      </c>
    </row>
    <row r="19" ht="15" customHeight="1" s="68">
      <c r="A19" s="82" t="inlineStr">
        <is>
          <t>Automatable tickets per month</t>
        </is>
      </c>
      <c r="B19" s="82" t="inlineStr">
        <is>
          <t>tickets</t>
        </is>
      </c>
      <c r="C19" s="108">
        <f>C18*Inputs!C19</f>
        <v/>
      </c>
      <c r="D19" s="108">
        <f>D18*Inputs!D19</f>
        <v/>
      </c>
      <c r="E19" s="108">
        <f>E18*Inputs!E19</f>
        <v/>
      </c>
      <c r="F19" s="85" t="inlineStr">
        <is>
          <t>× automatable share</t>
        </is>
      </c>
    </row>
    <row r="20" ht="15" customHeight="1" s="68">
      <c r="A20" s="82" t="inlineStr">
        <is>
          <t>Deflected per month at steady state (if in scope)</t>
        </is>
      </c>
      <c r="B20" s="82" t="inlineStr">
        <is>
          <t>tickets</t>
        </is>
      </c>
      <c r="C20" s="108">
        <f>C19*Inputs!C23*Inputs!C35</f>
        <v/>
      </c>
      <c r="D20" s="108">
        <f>D19*Inputs!D23*Inputs!D35</f>
        <v/>
      </c>
      <c r="E20" s="108">
        <f>E19*Inputs!E23*Inputs!E35</f>
        <v/>
      </c>
      <c r="F20" s="85" t="inlineStr">
        <is>
          <t>× deflection realised × include flag</t>
        </is>
      </c>
    </row>
    <row r="21" ht="15" customHeight="1" s="68">
      <c r="A21" s="82" t="inlineStr">
        <is>
          <t>Deflected in year 1, with the adoption ramp</t>
        </is>
      </c>
      <c r="B21" s="82" t="inlineStr">
        <is>
          <t>tickets / yr</t>
        </is>
      </c>
      <c r="C21" s="108">
        <f>C20*12*C$5</f>
        <v/>
      </c>
      <c r="D21" s="108">
        <f>D20*12*D$5</f>
        <v/>
      </c>
      <c r="E21" s="108">
        <f>E20*12*E$5</f>
        <v/>
      </c>
      <c r="F21" s="85" t="inlineStr">
        <is>
          <t>× 12 × year-1 adoption factor</t>
        </is>
      </c>
    </row>
    <row r="22" ht="15" customHeight="1" s="68">
      <c r="A22" s="82" t="inlineStr">
        <is>
          <t>Gross value — human work avoided</t>
        </is>
      </c>
      <c r="B22" s="82" t="inlineStr">
        <is>
          <t>€ / yr</t>
        </is>
      </c>
      <c r="C22" s="109">
        <f>C21*Inputs!C$9</f>
        <v/>
      </c>
      <c r="D22" s="109">
        <f>D21*Inputs!D$9</f>
        <v/>
      </c>
      <c r="E22" s="109">
        <f>E21*Inputs!E$9</f>
        <v/>
      </c>
      <c r="F22" s="85" t="inlineStr">
        <is>
          <t>× fully loaded cost of a human ticket</t>
        </is>
      </c>
    </row>
    <row r="23" ht="15" customHeight="1" s="68">
      <c r="A23" s="82" t="inlineStr">
        <is>
          <t>Expected cost of wrong answers</t>
        </is>
      </c>
      <c r="B23" s="82" t="inlineStr">
        <is>
          <t>€ / yr</t>
        </is>
      </c>
      <c r="C23" s="109">
        <f>C21*Inputs!C27*Inputs!C31</f>
        <v/>
      </c>
      <c r="D23" s="109">
        <f>D21*Inputs!D27*Inputs!D31</f>
        <v/>
      </c>
      <c r="E23" s="109">
        <f>E21*Inputs!E27*Inputs!E31</f>
        <v/>
      </c>
      <c r="F23" s="85" t="inlineStr">
        <is>
          <t>deflected × error rate × cost of one wrong answer — the tail, priced</t>
        </is>
      </c>
    </row>
    <row r="24" ht="15" customHeight="1" s="68">
      <c r="A24" s="82" t="inlineStr">
        <is>
          <t>AI handling cost (tokens, retries)</t>
        </is>
      </c>
      <c r="B24" s="82" t="inlineStr">
        <is>
          <t>€ / yr</t>
        </is>
      </c>
      <c r="C24" s="109">
        <f>C21*Inputs!C$45*Inputs!C$46</f>
        <v/>
      </c>
      <c r="D24" s="109">
        <f>D21*Inputs!D$45*Inputs!D$46</f>
        <v/>
      </c>
      <c r="E24" s="109">
        <f>E21*Inputs!E$45*Inputs!E$46</f>
        <v/>
      </c>
      <c r="F24" s="85" t="inlineStr">
        <is>
          <t>deflected × cost per conversation × retry overhead</t>
        </is>
      </c>
    </row>
    <row r="25" ht="15" customHeight="1" s="68">
      <c r="A25" s="88" t="inlineStr">
        <is>
          <t>Net contribution of this category</t>
        </is>
      </c>
      <c r="B25" s="82" t="inlineStr">
        <is>
          <t>€ / yr</t>
        </is>
      </c>
      <c r="C25" s="110">
        <f>C22-C23-C24</f>
        <v/>
      </c>
      <c r="D25" s="110">
        <f>D22-D23-D24</f>
        <v/>
      </c>
      <c r="E25" s="110">
        <f>E22-E23-E24</f>
        <v/>
      </c>
      <c r="F25" s="85" t="inlineStr">
        <is>
          <t>gross − error cost − AI cost</t>
        </is>
      </c>
    </row>
    <row r="26"/>
    <row r="27" ht="15" customHeight="1" s="68">
      <c r="A27" s="81">
        <f>UPPER(TRIM(Inputs!A16))</f>
        <v/>
      </c>
    </row>
    <row r="28" ht="15" customHeight="1" s="68">
      <c r="A28" s="82" t="inlineStr">
        <is>
          <t>Tickets per month in this category</t>
        </is>
      </c>
      <c r="B28" s="82" t="inlineStr">
        <is>
          <t>tickets</t>
        </is>
      </c>
      <c r="C28" s="107">
        <f>Inputs!C$6*Inputs!C16</f>
        <v/>
      </c>
      <c r="D28" s="107">
        <f>Inputs!D$6*Inputs!D16</f>
        <v/>
      </c>
      <c r="E28" s="107">
        <f>Inputs!E$6*Inputs!E16</f>
        <v/>
      </c>
      <c r="F28" s="85" t="inlineStr">
        <is>
          <t>→ tickets/month × share</t>
        </is>
      </c>
    </row>
    <row r="29" ht="15" customHeight="1" s="68">
      <c r="A29" s="82" t="inlineStr">
        <is>
          <t>Automatable tickets per month</t>
        </is>
      </c>
      <c r="B29" s="82" t="inlineStr">
        <is>
          <t>tickets</t>
        </is>
      </c>
      <c r="C29" s="108">
        <f>C28*Inputs!C20</f>
        <v/>
      </c>
      <c r="D29" s="108">
        <f>D28*Inputs!D20</f>
        <v/>
      </c>
      <c r="E29" s="108">
        <f>E28*Inputs!E20</f>
        <v/>
      </c>
      <c r="F29" s="85" t="inlineStr">
        <is>
          <t>× automatable share</t>
        </is>
      </c>
    </row>
    <row r="30" ht="15" customHeight="1" s="68">
      <c r="A30" s="82" t="inlineStr">
        <is>
          <t>Deflected per month at steady state (if in scope)</t>
        </is>
      </c>
      <c r="B30" s="82" t="inlineStr">
        <is>
          <t>tickets</t>
        </is>
      </c>
      <c r="C30" s="108">
        <f>C29*Inputs!C24*Inputs!C36</f>
        <v/>
      </c>
      <c r="D30" s="108">
        <f>D29*Inputs!D24*Inputs!D36</f>
        <v/>
      </c>
      <c r="E30" s="108">
        <f>E29*Inputs!E24*Inputs!E36</f>
        <v/>
      </c>
      <c r="F30" s="85" t="inlineStr">
        <is>
          <t>× deflection realised × include flag</t>
        </is>
      </c>
    </row>
    <row r="31" ht="15" customHeight="1" s="68">
      <c r="A31" s="82" t="inlineStr">
        <is>
          <t>Deflected in year 1, with the adoption ramp</t>
        </is>
      </c>
      <c r="B31" s="82" t="inlineStr">
        <is>
          <t>tickets / yr</t>
        </is>
      </c>
      <c r="C31" s="108">
        <f>C30*12*C$5</f>
        <v/>
      </c>
      <c r="D31" s="108">
        <f>D30*12*D$5</f>
        <v/>
      </c>
      <c r="E31" s="108">
        <f>E30*12*E$5</f>
        <v/>
      </c>
      <c r="F31" s="85" t="inlineStr">
        <is>
          <t>× 12 × year-1 adoption factor</t>
        </is>
      </c>
    </row>
    <row r="32" ht="15" customHeight="1" s="68">
      <c r="A32" s="82" t="inlineStr">
        <is>
          <t>Gross value — human work avoided</t>
        </is>
      </c>
      <c r="B32" s="82" t="inlineStr">
        <is>
          <t>€ / yr</t>
        </is>
      </c>
      <c r="C32" s="109">
        <f>C31*Inputs!C$9</f>
        <v/>
      </c>
      <c r="D32" s="109">
        <f>D31*Inputs!D$9</f>
        <v/>
      </c>
      <c r="E32" s="109">
        <f>E31*Inputs!E$9</f>
        <v/>
      </c>
      <c r="F32" s="85" t="inlineStr">
        <is>
          <t>× fully loaded cost of a human ticket</t>
        </is>
      </c>
    </row>
    <row r="33" ht="15" customHeight="1" s="68">
      <c r="A33" s="82" t="inlineStr">
        <is>
          <t>Expected cost of wrong answers</t>
        </is>
      </c>
      <c r="B33" s="82" t="inlineStr">
        <is>
          <t>€ / yr</t>
        </is>
      </c>
      <c r="C33" s="109">
        <f>C31*Inputs!C28*Inputs!C32</f>
        <v/>
      </c>
      <c r="D33" s="109">
        <f>D31*Inputs!D28*Inputs!D32</f>
        <v/>
      </c>
      <c r="E33" s="109">
        <f>E31*Inputs!E28*Inputs!E32</f>
        <v/>
      </c>
      <c r="F33" s="85" t="inlineStr">
        <is>
          <t>deflected × error rate × cost of one wrong answer — the tail, priced</t>
        </is>
      </c>
    </row>
    <row r="34" ht="15" customHeight="1" s="68">
      <c r="A34" s="82" t="inlineStr">
        <is>
          <t>AI handling cost (tokens, retries)</t>
        </is>
      </c>
      <c r="B34" s="82" t="inlineStr">
        <is>
          <t>€ / yr</t>
        </is>
      </c>
      <c r="C34" s="109">
        <f>C31*Inputs!C$45*Inputs!C$46</f>
        <v/>
      </c>
      <c r="D34" s="109">
        <f>D31*Inputs!D$45*Inputs!D$46</f>
        <v/>
      </c>
      <c r="E34" s="109">
        <f>E31*Inputs!E$45*Inputs!E$46</f>
        <v/>
      </c>
      <c r="F34" s="85" t="inlineStr">
        <is>
          <t>deflected × cost per conversation × retry overhead</t>
        </is>
      </c>
    </row>
    <row r="35" ht="15" customHeight="1" s="68">
      <c r="A35" s="88" t="inlineStr">
        <is>
          <t>Net contribution of this category</t>
        </is>
      </c>
      <c r="B35" s="82" t="inlineStr">
        <is>
          <t>€ / yr</t>
        </is>
      </c>
      <c r="C35" s="110">
        <f>C32-C33-C34</f>
        <v/>
      </c>
      <c r="D35" s="110">
        <f>D32-D33-D34</f>
        <v/>
      </c>
      <c r="E35" s="110">
        <f>E32-E33-E34</f>
        <v/>
      </c>
      <c r="F35" s="85" t="inlineStr">
        <is>
          <t>gross − error cost − AI cost</t>
        </is>
      </c>
    </row>
    <row r="36"/>
    <row r="37" ht="15" customHeight="1" s="68">
      <c r="A37" s="81" t="inlineStr">
        <is>
          <t>TOTALS — ALL CATEGORIES IN SCOPE</t>
        </is>
      </c>
    </row>
    <row r="38" ht="15" customHeight="1" s="68">
      <c r="A38" s="82" t="inlineStr">
        <is>
          <t>Tickets deflected in year 1</t>
        </is>
      </c>
      <c r="B38" s="82" t="inlineStr">
        <is>
          <t>tickets / yr</t>
        </is>
      </c>
      <c r="C38" s="108">
        <f>C11+C21+C31</f>
        <v/>
      </c>
      <c r="D38" s="108">
        <f>D11+D21+D31</f>
        <v/>
      </c>
      <c r="E38" s="108">
        <f>E11+E21+E31</f>
        <v/>
      </c>
      <c r="F38" s="85" t="inlineStr">
        <is>
          <t>sum of the three categories</t>
        </is>
      </c>
    </row>
    <row r="39" ht="15" customHeight="1" s="68">
      <c r="A39" s="82" t="inlineStr">
        <is>
          <t>Gross value — human work avoided</t>
        </is>
      </c>
      <c r="B39" s="82" t="inlineStr">
        <is>
          <t>€ / yr</t>
        </is>
      </c>
      <c r="C39" s="109">
        <f>C12+C22+C32</f>
        <v/>
      </c>
      <c r="D39" s="109">
        <f>D12+D22+D32</f>
        <v/>
      </c>
      <c r="E39" s="109">
        <f>E12+E22+E32</f>
        <v/>
      </c>
      <c r="F39" s="85" t="inlineStr">
        <is>
          <t>sum of the three categories</t>
        </is>
      </c>
    </row>
    <row r="40" ht="15" customHeight="1" s="68">
      <c r="A40" s="82" t="inlineStr">
        <is>
          <t>Expected cost of wrong answers</t>
        </is>
      </c>
      <c r="B40" s="82" t="inlineStr">
        <is>
          <t>€ / yr</t>
        </is>
      </c>
      <c r="C40" s="109">
        <f>C13+C23+C33</f>
        <v/>
      </c>
      <c r="D40" s="109">
        <f>D13+D23+D33</f>
        <v/>
      </c>
      <c r="E40" s="109">
        <f>E13+E23+E33</f>
        <v/>
      </c>
      <c r="F40" s="85" t="inlineStr">
        <is>
          <t>sum of the three categories</t>
        </is>
      </c>
    </row>
    <row r="41" ht="15" customHeight="1" s="68">
      <c r="A41" s="82" t="inlineStr">
        <is>
          <t>AI handling cost</t>
        </is>
      </c>
      <c r="B41" s="82" t="inlineStr">
        <is>
          <t>€ / yr</t>
        </is>
      </c>
      <c r="C41" s="109">
        <f>C14+C24+C34</f>
        <v/>
      </c>
      <c r="D41" s="109">
        <f>D14+D24+D34</f>
        <v/>
      </c>
      <c r="E41" s="109">
        <f>E14+E24+E34</f>
        <v/>
      </c>
      <c r="F41" s="85" t="inlineStr">
        <is>
          <t>sum of the three categories</t>
        </is>
      </c>
    </row>
    <row r="42" ht="15" customHeight="1" s="68">
      <c r="A42" s="88" t="inlineStr">
        <is>
          <t>Net variable contribution (before fixed costs)</t>
        </is>
      </c>
      <c r="B42" s="82" t="inlineStr">
        <is>
          <t>€ / yr</t>
        </is>
      </c>
      <c r="C42" s="110">
        <f>C15+C25+C35</f>
        <v/>
      </c>
      <c r="D42" s="110">
        <f>D15+D25+D35</f>
        <v/>
      </c>
      <c r="E42" s="110">
        <f>E15+E25+E35</f>
        <v/>
      </c>
      <c r="F42" s="85" t="inlineStr">
        <is>
          <t>sum of the three categories</t>
        </is>
      </c>
    </row>
    <row r="43"/>
    <row r="44" ht="15" customHeight="1" s="68">
      <c r="A44" s="82" t="inlineStr">
        <is>
          <t>Share of all tickets deflected in year 1</t>
        </is>
      </c>
      <c r="B44" s="82" t="inlineStr">
        <is>
          <t>share</t>
        </is>
      </c>
      <c r="C44" s="111">
        <f>IF(Inputs!C6=0,0,C38/(Inputs!C6*12))</f>
        <v/>
      </c>
      <c r="D44" s="111">
        <f>IF(Inputs!D6=0,0,D38/(Inputs!D6*12))</f>
        <v/>
      </c>
      <c r="E44" s="111">
        <f>IF(Inputs!E6=0,0,E38/(Inputs!E6*12))</f>
        <v/>
      </c>
      <c r="F44" s="85" t="inlineStr">
        <is>
          <t>sanity check: the SOM in ticket terms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4" customWidth="1" style="67" min="1" max="1"/>
    <col width="12" customWidth="1" style="67" min="2" max="2"/>
    <col width="15" customWidth="1" style="67" min="3" max="5"/>
    <col width="60" customWidth="1" style="67" min="6" max="6"/>
  </cols>
  <sheetData>
    <row r="1" ht="17.25" customHeight="1" s="68">
      <c r="A1" s="77" t="inlineStr">
        <is>
          <t>02_sizing — your agent · Costs &amp; Decision</t>
        </is>
      </c>
    </row>
    <row r="2" ht="15" customHeight="1" s="68">
      <c r="A2" s="105" t="inlineStr">
        <is>
          <t>Three scenarios → expected value → two comparisons (do-nothing, hurdle). Green = links to Upside / Inputs; black = formulas.</t>
        </is>
      </c>
    </row>
    <row r="3"/>
    <row r="4" ht="27.75" customHeight="1" s="68">
      <c r="A4" s="79" t="inlineStr">
        <is>
          <t>Line</t>
        </is>
      </c>
      <c r="B4" s="79" t="inlineStr">
        <is>
          <t>Unit</t>
        </is>
      </c>
      <c r="C4" s="79" t="inlineStr">
        <is>
          <t>Low (pessimistic)</t>
        </is>
      </c>
      <c r="D4" s="79" t="inlineStr">
        <is>
          <t>Base</t>
        </is>
      </c>
      <c r="E4" s="79" t="inlineStr">
        <is>
          <t>High (optimistic)</t>
        </is>
      </c>
      <c r="F4" s="79" t="inlineStr">
        <is>
          <t>How it is computed</t>
        </is>
      </c>
    </row>
    <row r="5" ht="15" customHeight="1" s="68">
      <c r="A5" s="81" t="inlineStr">
        <is>
          <t>VALUE</t>
        </is>
      </c>
    </row>
    <row r="6" ht="15" customHeight="1" s="68">
      <c r="A6" s="82" t="inlineStr">
        <is>
          <t>Net variable contribution (Upside) + other value (Inputs rows 67–68)</t>
        </is>
      </c>
      <c r="B6" s="82" t="inlineStr">
        <is>
          <t>€ / yr</t>
        </is>
      </c>
      <c r="C6" s="112">
        <f>Upside!C42+N(Inputs!C67)+N(Inputs!C68)</f>
        <v/>
      </c>
      <c r="D6" s="112">
        <f>Upside!D42+N(Inputs!D67)+N(Inputs!D68)</f>
        <v/>
      </c>
      <c r="E6" s="112">
        <f>Upside!E42+N(Inputs!E67)+N(Inputs!E68)</f>
        <v/>
      </c>
      <c r="F6" s="85" t="inlineStr">
        <is>
          <t>gross − error cost − AI cost, all categories in scope</t>
        </is>
      </c>
    </row>
    <row r="7"/>
    <row r="8" ht="15" customHeight="1" s="68">
      <c r="A8" s="81" t="inlineStr">
        <is>
          <t>FIXED AND SEMI-FIXED COSTS</t>
        </is>
      </c>
    </row>
    <row r="9" ht="15" customHeight="1" s="68">
      <c r="A9" s="82" t="inlineStr">
        <is>
          <t>Integration, amortised</t>
        </is>
      </c>
      <c r="B9" s="82" t="inlineStr">
        <is>
          <t>€ / yr</t>
        </is>
      </c>
      <c r="C9" s="112">
        <f>IFERROR(Inputs!C49/Inputs!C50,0)</f>
        <v/>
      </c>
      <c r="D9" s="112">
        <f>IFERROR(Inputs!D49/Inputs!D50,0)</f>
        <v/>
      </c>
      <c r="E9" s="112">
        <f>IFERROR(Inputs!E49/Inputs!E50,0)</f>
        <v/>
      </c>
      <c r="F9" s="85" t="inlineStr">
        <is>
          <t>one-off ÷ amortisation years</t>
        </is>
      </c>
    </row>
    <row r="10" ht="15" customHeight="1" s="68">
      <c r="A10" s="82" t="inlineStr">
        <is>
          <t>Evaluation — eval-set and graders</t>
        </is>
      </c>
      <c r="B10" s="82" t="inlineStr">
        <is>
          <t>€ / yr</t>
        </is>
      </c>
      <c r="C10" s="112">
        <f>Inputs!C51</f>
        <v/>
      </c>
      <c r="D10" s="112">
        <f>Inputs!D51</f>
        <v/>
      </c>
      <c r="E10" s="112">
        <f>Inputs!E51</f>
        <v/>
      </c>
      <c r="F10" s="85" t="n"/>
    </row>
    <row r="11" ht="15" customHeight="1" s="68">
      <c r="A11" s="82" t="inlineStr">
        <is>
          <t>Supervision — humans in the loop</t>
        </is>
      </c>
      <c r="B11" s="82" t="inlineStr">
        <is>
          <t>€ / yr</t>
        </is>
      </c>
      <c r="C11" s="112">
        <f>Inputs!C52*Inputs!C53</f>
        <v/>
      </c>
      <c r="D11" s="112">
        <f>Inputs!D52*Inputs!D53</f>
        <v/>
      </c>
      <c r="E11" s="112">
        <f>Inputs!E52*Inputs!E53</f>
        <v/>
      </c>
      <c r="F11" s="85" t="inlineStr">
        <is>
          <t>FTE × cost per FTE</t>
        </is>
      </c>
    </row>
    <row r="12" ht="15" customHeight="1" s="68">
      <c r="A12" s="82" t="inlineStr">
        <is>
          <t>Monitoring and on-call</t>
        </is>
      </c>
      <c r="B12" s="82" t="inlineStr">
        <is>
          <t>€ / yr</t>
        </is>
      </c>
      <c r="C12" s="112">
        <f>Inputs!C54</f>
        <v/>
      </c>
      <c r="D12" s="112">
        <f>Inputs!D54</f>
        <v/>
      </c>
      <c r="E12" s="112">
        <f>Inputs!E54</f>
        <v/>
      </c>
      <c r="F12" s="85" t="n"/>
    </row>
    <row r="13" ht="15" customHeight="1" s="68">
      <c r="A13" s="82" t="inlineStr">
        <is>
          <t>Re-evaluation at model changes</t>
        </is>
      </c>
      <c r="B13" s="82" t="inlineStr">
        <is>
          <t>€ / yr</t>
        </is>
      </c>
      <c r="C13" s="112">
        <f>Inputs!C55*Inputs!C56</f>
        <v/>
      </c>
      <c r="D13" s="112">
        <f>Inputs!D55*Inputs!D56</f>
        <v/>
      </c>
      <c r="E13" s="112">
        <f>Inputs!E55*Inputs!E56</f>
        <v/>
      </c>
      <c r="F13" s="85" t="inlineStr">
        <is>
          <t>changes per year × cost per change</t>
        </is>
      </c>
    </row>
    <row r="14" ht="15" customHeight="1" s="68">
      <c r="A14" s="88" t="inlineStr">
        <is>
          <t>Total fixed and semi-fixed</t>
        </is>
      </c>
      <c r="B14" s="82" t="inlineStr">
        <is>
          <t>€ / yr</t>
        </is>
      </c>
      <c r="C14" s="110">
        <f>SUM(C9:C13)</f>
        <v/>
      </c>
      <c r="D14" s="110">
        <f>SUM(D9:D13)</f>
        <v/>
      </c>
      <c r="E14" s="110">
        <f>SUM(E9:E13)</f>
        <v/>
      </c>
      <c r="F14" s="85" t="n"/>
    </row>
    <row r="15"/>
    <row r="16" ht="15" customHeight="1" s="68">
      <c r="A16" s="81" t="inlineStr">
        <is>
          <t>NET ANNUAL VALUE AND EXPECTED VALUE</t>
        </is>
      </c>
    </row>
    <row r="17" ht="15" customHeight="1" s="68">
      <c r="A17" s="88" t="inlineStr">
        <is>
          <t>Net annual value of the project, year 1</t>
        </is>
      </c>
      <c r="B17" s="82" t="inlineStr">
        <is>
          <t>€ / yr</t>
        </is>
      </c>
      <c r="C17" s="110">
        <f>C6-C14</f>
        <v/>
      </c>
      <c r="D17" s="110">
        <f>D6-D14</f>
        <v/>
      </c>
      <c r="E17" s="110">
        <f>E6-E14</f>
        <v/>
      </c>
      <c r="F17" s="85" t="inlineStr">
        <is>
          <t>net variable contribution − fixed costs</t>
        </is>
      </c>
    </row>
    <row r="18" ht="15" customHeight="1" s="68">
      <c r="A18" s="82" t="inlineStr">
        <is>
          <t>Scenario probability</t>
        </is>
      </c>
      <c r="B18" s="82" t="inlineStr">
        <is>
          <t>p</t>
        </is>
      </c>
      <c r="C18" s="113">
        <f>Inputs!C63</f>
        <v/>
      </c>
      <c r="D18" s="113">
        <f>Inputs!D63</f>
        <v/>
      </c>
      <c r="E18" s="113">
        <f>Inputs!E63</f>
        <v/>
      </c>
      <c r="F18" s="85" t="inlineStr">
        <is>
          <t>from Inputs</t>
        </is>
      </c>
    </row>
    <row r="19" ht="15" customHeight="1" s="68">
      <c r="A19" s="88" t="inlineStr">
        <is>
          <t>Expected value (Σ p × net value)</t>
        </is>
      </c>
      <c r="B19" s="67" t="inlineStr">
        <is>
          <t>€ / yr</t>
        </is>
      </c>
      <c r="D19" s="114">
        <f>SUMPRODUCT(C17:E17,C18:E18)</f>
        <v/>
      </c>
      <c r="F19" s="91" t="inlineStr">
        <is>
          <t>the single number — but read the three above it first</t>
        </is>
      </c>
    </row>
    <row r="20"/>
    <row r="21" ht="15" customHeight="1" s="68">
      <c r="A21" s="81" t="inlineStr">
        <is>
          <t>THE TWO COMPARISONS</t>
        </is>
      </c>
    </row>
    <row r="22" ht="15" customHeight="1" s="68">
      <c r="A22" s="82" t="inlineStr">
        <is>
          <t>Do-nothing: value of the current process improving on its own</t>
        </is>
      </c>
      <c r="B22" s="82" t="inlineStr">
        <is>
          <t>€ / yr</t>
        </is>
      </c>
      <c r="C22" s="112">
        <f>Inputs!C59*Inputs!C6*12*Inputs!C9</f>
        <v/>
      </c>
      <c r="D22" s="112">
        <f>Inputs!D59*Inputs!D6*12*Inputs!D9</f>
        <v/>
      </c>
      <c r="E22" s="112">
        <f>Inputs!E59*Inputs!E6*12*Inputs!E9</f>
        <v/>
      </c>
      <c r="F22" s="85" t="inlineStr">
        <is>
          <t>efficiency gain × annual tickets × cost per ticket — not zero</t>
        </is>
      </c>
    </row>
    <row r="23" ht="15" customHeight="1" s="68">
      <c r="A23" s="82" t="inlineStr">
        <is>
          <t>Next-best project (the hurdle)</t>
        </is>
      </c>
      <c r="B23" s="82" t="inlineStr">
        <is>
          <t>€ / yr</t>
        </is>
      </c>
      <c r="C23" s="112">
        <f>Inputs!C60</f>
        <v/>
      </c>
      <c r="D23" s="112">
        <f>Inputs!D60</f>
        <v/>
      </c>
      <c r="E23" s="112">
        <f>Inputs!E60</f>
        <v/>
      </c>
      <c r="F23" s="85" t="inlineStr">
        <is>
          <t>from Inputs</t>
        </is>
      </c>
    </row>
    <row r="24" ht="15" customHeight="1" s="68">
      <c r="A24" s="82" t="inlineStr">
        <is>
          <t>EV minus do-nothing</t>
        </is>
      </c>
      <c r="B24" s="67" t="inlineStr">
        <is>
          <t>€ / yr</t>
        </is>
      </c>
      <c r="D24" s="109">
        <f>D19-D22</f>
        <v/>
      </c>
    </row>
    <row r="25" ht="15" customHeight="1" s="68">
      <c r="A25" s="82" t="inlineStr">
        <is>
          <t>EV minus hurdle</t>
        </is>
      </c>
      <c r="B25" s="67" t="inlineStr">
        <is>
          <t>€ / yr</t>
        </is>
      </c>
      <c r="D25" s="109">
        <f>D19-D23</f>
        <v/>
      </c>
    </row>
    <row r="26" ht="15" customHeight="1" s="68">
      <c r="A26" s="82" t="inlineStr">
        <is>
          <t>Pessimistic case clears the hurdle?</t>
        </is>
      </c>
      <c r="D26" s="115">
        <f>IF(C17&gt;=C23,"yes","no")</f>
        <v/>
      </c>
    </row>
    <row r="27" ht="31.5" customHeight="1" s="68">
      <c r="A27" s="88" t="inlineStr">
        <is>
          <t>Decision (formula — you still write the memo)</t>
        </is>
      </c>
      <c r="D27" s="116">
        <f>IF(Inputs!D6="","— fill in the Inputs tab first —",IF(ABS(Inputs!D64-1)&gt;0.001,"— scenario probabilities must sum to 1 —",IF(D19&lt;D22,"NO-GO — does not beat do-nothing",IF(D19&lt;D23,"NO-GO — does not beat the next-best project",IF(C17&lt;D23,"CONDITIONAL GO — EV clears the hurdle, the pessimistic case does not: test the deflection assumption first","GO")))))</f>
        <v/>
      </c>
    </row>
    <row r="28"/>
    <row r="29" ht="15" customHeight="1" s="68">
      <c r="A29" s="81" t="inlineStr">
        <is>
          <t>SENSITIVITY — the assumption that flips the decision</t>
        </is>
      </c>
    </row>
    <row r="30" ht="15" customHeight="1" s="68">
      <c r="A30" s="105" t="inlineStr">
        <is>
          <t>Base case, varying only the deflection realised on category 1 (row 22 of Inputs). Everything else at Base.</t>
        </is>
      </c>
    </row>
    <row r="31" ht="27.75" customHeight="1" s="68">
      <c r="A31" s="79" t="inlineStr">
        <is>
          <t>Deflection on “How do I…”</t>
        </is>
      </c>
      <c r="B31" s="79" t="n"/>
      <c r="C31" s="79" t="inlineStr">
        <is>
          <t>Net annual value</t>
        </is>
      </c>
      <c r="D31" s="79" t="inlineStr">
        <is>
          <t>vs hurdle</t>
        </is>
      </c>
      <c r="E31" s="79" t="inlineStr">
        <is>
          <t>vs do-nothing</t>
        </is>
      </c>
      <c r="F31" s="79" t="inlineStr">
        <is>
          <t>Reading</t>
        </is>
      </c>
    </row>
    <row r="32" ht="15" customHeight="1" s="68">
      <c r="A32" s="117" t="n">
        <v>0.3</v>
      </c>
      <c r="C32" s="109">
        <f>((Upside!D9*A32*Inputs!D34*12*Upside!D$5)*Inputs!D$9-(Upside!D9*A32*Inputs!D34*12*Upside!D$5)*Inputs!D26*Inputs!D30-(Upside!D9*A32*Inputs!D34*12*Upside!D$5)*Inputs!D$45*Inputs!D$46)+Upside!D25+Upside!D35-D14+N(Inputs!$D$67)+N(Inputs!$D$68)</f>
        <v/>
      </c>
      <c r="D32" s="109">
        <f>C32-D23</f>
        <v/>
      </c>
      <c r="E32" s="109">
        <f>C32-D22</f>
        <v/>
      </c>
      <c r="F32" s="82">
        <f>IF(Inputs!D6="","",IF(C32&lt;D22,"below do-nothing",IF(C32&lt;D23,"below the hurdle — the next-best project wins","clears the hurdle")))</f>
        <v/>
      </c>
    </row>
    <row r="33" ht="15" customHeight="1" s="68">
      <c r="A33" s="117" t="n">
        <v>0.45</v>
      </c>
      <c r="C33" s="109">
        <f>((Upside!D9*A33*Inputs!D34*12*Upside!D$5)*Inputs!D$9-(Upside!D9*A33*Inputs!D34*12*Upside!D$5)*Inputs!D26*Inputs!D30-(Upside!D9*A33*Inputs!D34*12*Upside!D$5)*Inputs!D$45*Inputs!D$46)+Upside!D25+Upside!D35-D14+N(Inputs!$D$67)+N(Inputs!$D$68)</f>
        <v/>
      </c>
      <c r="D33" s="109">
        <f>C33-D23</f>
        <v/>
      </c>
      <c r="E33" s="109">
        <f>C33-D22</f>
        <v/>
      </c>
      <c r="F33" s="82">
        <f>IF(Inputs!D6="","",IF(C33&lt;D22,"below do-nothing",IF(C33&lt;D23,"below the hurdle — the next-best project wins","clears the hurdle")))</f>
        <v/>
      </c>
    </row>
    <row r="34" ht="15" customHeight="1" s="68">
      <c r="A34" s="117" t="n">
        <v>0.6</v>
      </c>
      <c r="C34" s="109">
        <f>((Upside!D9*A34*Inputs!D34*12*Upside!D$5)*Inputs!D$9-(Upside!D9*A34*Inputs!D34*12*Upside!D$5)*Inputs!D26*Inputs!D30-(Upside!D9*A34*Inputs!D34*12*Upside!D$5)*Inputs!D$45*Inputs!D$46)+Upside!D25+Upside!D35-D14+N(Inputs!$D$67)+N(Inputs!$D$68)</f>
        <v/>
      </c>
      <c r="D34" s="109">
        <f>C34-D23</f>
        <v/>
      </c>
      <c r="E34" s="109">
        <f>C34-D22</f>
        <v/>
      </c>
      <c r="F34" s="82">
        <f>IF(Inputs!D6="","",IF(C34&lt;D22,"below do-nothing",IF(C34&lt;D23,"below the hurdle — the next-best project wins","clears the hurdle")))</f>
        <v/>
      </c>
    </row>
    <row r="35" ht="15" customHeight="1" s="68">
      <c r="A35" s="117" t="n">
        <v>0.65</v>
      </c>
      <c r="C35" s="109">
        <f>((Upside!D9*A35*Inputs!D34*12*Upside!D$5)*Inputs!D$9-(Upside!D9*A35*Inputs!D34*12*Upside!D$5)*Inputs!D26*Inputs!D30-(Upside!D9*A35*Inputs!D34*12*Upside!D$5)*Inputs!D$45*Inputs!D$46)+Upside!D25+Upside!D35-D14+N(Inputs!$D$67)+N(Inputs!$D$68)</f>
        <v/>
      </c>
      <c r="D35" s="109">
        <f>C35-D23</f>
        <v/>
      </c>
      <c r="E35" s="109">
        <f>C35-D22</f>
        <v/>
      </c>
      <c r="F35" s="82">
        <f>IF(Inputs!D6="","",IF(C35&lt;D22,"below do-nothing",IF(C35&lt;D23,"below the hurdle — the next-best project wins","clears the hurdle")))</f>
        <v/>
      </c>
    </row>
    <row r="36" ht="15" customHeight="1" s="68">
      <c r="A36" s="117" t="n">
        <v>0.75</v>
      </c>
      <c r="C36" s="109">
        <f>((Upside!D9*A36*Inputs!D34*12*Upside!D$5)*Inputs!D$9-(Upside!D9*A36*Inputs!D34*12*Upside!D$5)*Inputs!D26*Inputs!D30-(Upside!D9*A36*Inputs!D34*12*Upside!D$5)*Inputs!D$45*Inputs!D$46)+Upside!D25+Upside!D35-D14+N(Inputs!$D$67)+N(Inputs!$D$68)</f>
        <v/>
      </c>
      <c r="D36" s="109">
        <f>C36-D23</f>
        <v/>
      </c>
      <c r="E36" s="109">
        <f>C36-D22</f>
        <v/>
      </c>
      <c r="F36" s="82">
        <f>IF(Inputs!D6="","",IF(C36&lt;D22,"below do-nothing",IF(C36&lt;D23,"below the hurdle — the next-best project wins","clears the hurdle")))</f>
        <v/>
      </c>
    </row>
    <row r="37"/>
    <row r="38" ht="27.75" customHeight="1" s="68">
      <c r="A38" s="105" t="inlineStr">
        <is>
          <t>Read down the table: the deflection rate at which the reading changes is your flip point. Name it in the memo — it is the number your S4 prototype must measure.</t>
        </is>
      </c>
    </row>
  </sheetData>
  <mergeCells count="2">
    <mergeCell ref="A38:F38"/>
    <mergeCell ref="D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67" min="1" max="1"/>
    <col width="70" customWidth="1" style="67" min="2" max="2"/>
    <col width="11" customWidth="1" style="67" min="3" max="5"/>
    <col width="13" customWidth="1" style="67" min="6" max="6"/>
    <col width="60" customWidth="1" style="67" min="7" max="7"/>
  </cols>
  <sheetData>
    <row r="1" ht="17.25" customHeight="1" s="68">
      <c r="A1" s="77" t="inlineStr">
        <is>
          <t>02_sizing — your agent · Build, buy or orchestrate?</t>
        </is>
      </c>
      <c r="B1" s="118" t="n"/>
      <c r="C1" s="118" t="n"/>
      <c r="D1" s="118" t="n"/>
      <c r="E1" s="118" t="n"/>
      <c r="F1" s="118" t="n"/>
      <c r="G1" s="118" t="n"/>
    </row>
    <row r="2" ht="31.5" customHeight="1" s="68">
      <c r="A2" s="76" t="inlineStr">
        <is>
          <t>Score each option from 1 (bad) to 5 (good) on each question, weight what matters to your company (weights sum to 100 %). Then write one line in the memo — “We orchestrate because…” — and the condition that would change it. See the build / buy / orchestrate slides of Session 2 (39–40).</t>
        </is>
      </c>
    </row>
    <row r="3" ht="15" customHeight="1" s="68">
      <c r="A3" s="118" t="n"/>
      <c r="B3" s="118" t="n"/>
      <c r="C3" s="118" t="n"/>
      <c r="D3" s="118" t="n"/>
      <c r="E3" s="118" t="n"/>
      <c r="F3" s="118" t="n"/>
      <c r="G3" s="118" t="n"/>
    </row>
    <row r="4" ht="15" customHeight="1" s="68">
      <c r="A4" s="119" t="inlineStr">
        <is>
          <t>#</t>
        </is>
      </c>
      <c r="B4" s="119" t="inlineStr">
        <is>
          <t>Question</t>
        </is>
      </c>
      <c r="C4" s="119" t="inlineStr">
        <is>
          <t>Weight</t>
        </is>
      </c>
      <c r="D4" s="119" t="inlineStr">
        <is>
          <t>Build</t>
        </is>
      </c>
      <c r="E4" s="119" t="inlineStr">
        <is>
          <t>Buy</t>
        </is>
      </c>
      <c r="F4" s="119" t="inlineStr">
        <is>
          <t>Orchestrate</t>
        </is>
      </c>
      <c r="G4" s="119" t="inlineStr">
        <is>
          <t>Why — one line per score that is not obvious</t>
        </is>
      </c>
    </row>
    <row r="5" ht="30" customHeight="1" s="68">
      <c r="A5" s="120" t="inlineStr">
        <is>
          <t>01</t>
        </is>
      </c>
      <c r="B5" s="121" t="inlineStr">
        <is>
          <t>Strategy — Is it our edge? Would a competitor buying the same tool erase our advantage?</t>
        </is>
      </c>
      <c r="C5" s="122" t="n">
        <v>0.1</v>
      </c>
      <c r="D5" s="123" t="n">
        <v>2</v>
      </c>
      <c r="E5" s="123" t="n">
        <v>4</v>
      </c>
      <c r="F5" s="123" t="n">
        <v>4</v>
      </c>
      <c r="G5" s="124" t="inlineStr">
        <is>
          <t>Refund adjudication is not our edge; our edge is the logistics network. A competitor buying the same tool would not erase it.</t>
        </is>
      </c>
    </row>
    <row r="6" ht="30" customHeight="1" s="68">
      <c r="A6" s="120" t="inlineStr">
        <is>
          <t>02</t>
        </is>
      </c>
      <c r="B6" s="121" t="inlineStr">
        <is>
          <t>Strategy — Do we own data or know-how that no vendor has?</t>
        </is>
      </c>
      <c r="C6" s="122" t="n">
        <v>0.1</v>
      </c>
      <c r="D6" s="123" t="n">
        <v>4</v>
      </c>
      <c r="E6" s="123" t="n">
        <v>2</v>
      </c>
      <c r="F6" s="123" t="n">
        <v>4</v>
      </c>
      <c r="G6" s="124" t="inlineStr">
        <is>
          <t>We own the refund policy and the tracking history. Orchestrating keeps both in-house and rents only the model layer.</t>
        </is>
      </c>
    </row>
    <row r="7" ht="30" customHeight="1" s="68">
      <c r="A7" s="120" t="inlineStr">
        <is>
          <t>03</t>
        </is>
      </c>
      <c r="B7" s="121" t="inlineStr">
        <is>
          <t>Fit &amp; speed — Does a product already do 80 % of the job — our languages, channels, integrations?</t>
        </is>
      </c>
      <c r="C7" s="122" t="n">
        <v>0.1</v>
      </c>
      <c r="D7" s="123" t="n">
        <v>2</v>
      </c>
      <c r="E7" s="123" t="n">
        <v>4</v>
      </c>
      <c r="F7" s="123" t="n">
        <v>5</v>
      </c>
      <c r="G7" s="124" t="inlineStr">
        <is>
          <t>Ticket-deflection products cover the answering, not the refund execution. Orchestration closes that last step.</t>
        </is>
      </c>
    </row>
    <row r="8" ht="30" customHeight="1" s="68">
      <c r="A8" s="120" t="inlineStr">
        <is>
          <t>04</t>
        </is>
      </c>
      <c r="B8" s="121" t="inlineStr">
        <is>
          <t>Fit &amp; speed — Must it be live in weeks, or can it take quarters?</t>
        </is>
      </c>
      <c r="C8" s="122" t="n">
        <v>0.1</v>
      </c>
      <c r="D8" s="123" t="n">
        <v>1</v>
      </c>
      <c r="E8" s="123" t="n">
        <v>5</v>
      </c>
      <c r="F8" s="123" t="n">
        <v>4</v>
      </c>
      <c r="G8" s="124" t="inlineStr">
        <is>
          <t>Building is a two-to-three quarter project. We need the sub-€20 backlog down this half.</t>
        </is>
      </c>
    </row>
    <row r="9" ht="30" customHeight="1" s="68">
      <c r="A9" s="120" t="inlineStr">
        <is>
          <t>05</t>
        </is>
      </c>
      <c r="B9" s="121" t="inlineStr">
        <is>
          <t>Fit &amp; speed — Do we have the people to build it and to run it — evals, on-call, re-evaluation?</t>
        </is>
      </c>
      <c r="C9" s="122" t="n">
        <v>0.1</v>
      </c>
      <c r="D9" s="123" t="n">
        <v>2</v>
      </c>
      <c r="E9" s="123" t="n">
        <v>4</v>
      </c>
      <c r="F9" s="123" t="n">
        <v>3</v>
      </c>
      <c r="G9" s="124" t="inlineStr">
        <is>
          <t>We have no eval, on-call or re-evaluation capacity today, and the sheet prices creating it at €59k a year.</t>
        </is>
      </c>
    </row>
    <row r="10" ht="30" customHeight="1" s="68">
      <c r="A10" s="120" t="inlineStr">
        <is>
          <t>06</t>
        </is>
      </c>
      <c r="B10" s="121" t="inlineStr">
        <is>
          <t>Money — 3-year total cost: fees per resolution or per seat vs the seven cost lines of a build</t>
        </is>
      </c>
      <c r="C10" s="122" t="n">
        <v>0.15</v>
      </c>
      <c r="D10" s="123" t="n">
        <v>1</v>
      </c>
      <c r="E10" s="123" t="n">
        <v>4</v>
      </c>
      <c r="F10" s="123" t="n">
        <v>5</v>
      </c>
      <c r="G10" s="124" t="inlineStr">
        <is>
          <t>3-year cost: building carries €164k a year of fixed lines against €80k of net variable value. See the break-even below.</t>
        </is>
      </c>
    </row>
    <row r="11" ht="30" customHeight="1" s="68">
      <c r="A11" s="120" t="inlineStr">
        <is>
          <t>07</t>
        </is>
      </c>
      <c r="B11" s="121" t="inlineStr">
        <is>
          <t>Money — At what volume does per-resolution pricing cost more than building? (break-even below)</t>
        </is>
      </c>
      <c r="C11" s="122" t="n">
        <v>0.1</v>
      </c>
      <c r="D11" s="123" t="n">
        <v>1</v>
      </c>
      <c r="E11" s="123" t="n">
        <v>4</v>
      </c>
      <c r="F11" s="123" t="n">
        <v>5</v>
      </c>
      <c r="G11" s="124" t="inlineStr">
        <is>
          <t>At ~12,600 resolutions a year, per-resolution pricing is far below the build's fixed base. Volume is the binding constraint.</t>
        </is>
      </c>
    </row>
    <row r="12" ht="30" customHeight="1" s="68">
      <c r="A12" s="120" t="inlineStr">
        <is>
          <t>08</t>
        </is>
      </c>
      <c r="B12" s="121" t="inlineStr">
        <is>
          <t>Risk &amp; control — Where does our data go — GDPR, residency, may the vendor train on it?</t>
        </is>
      </c>
      <c r="C12" s="122" t="n">
        <v>0.08</v>
      </c>
      <c r="D12" s="123" t="n">
        <v>5</v>
      </c>
      <c r="E12" s="123" t="n">
        <v>2</v>
      </c>
      <c r="F12" s="123" t="n">
        <v>4</v>
      </c>
      <c r="G12" s="124" t="inlineStr">
        <is>
          <t>Merchant and tracking data would leave our perimeter under a pure buy. Orchestrating keeps the policy engine and the data here.</t>
        </is>
      </c>
    </row>
    <row r="13" ht="30" customHeight="1" s="68">
      <c r="A13" s="120" t="inlineStr">
        <is>
          <t>09</t>
        </is>
      </c>
      <c r="B13" s="121" t="inlineStr">
        <is>
          <t>Risk &amp; control — Can we leave — exit clause, export of data, prompts and eval-sets?</t>
        </is>
      </c>
      <c r="C13" s="122" t="n">
        <v>0.07000000000000001</v>
      </c>
      <c r="D13" s="123" t="n">
        <v>5</v>
      </c>
      <c r="E13" s="123" t="n">
        <v>2</v>
      </c>
      <c r="F13" s="123" t="n">
        <v>4</v>
      </c>
      <c r="G13" s="124" t="inlineStr">
        <is>
          <t>Exit: we keep the policy, the prompts and the eval-set under build and orchestrate; a pure buy locks the decision logic in the vendor.</t>
        </is>
      </c>
    </row>
    <row r="14" ht="30" customHeight="1" s="68">
      <c r="A14" s="120" t="inlineStr">
        <is>
          <t>10</t>
        </is>
      </c>
      <c r="B14" s="121" t="inlineStr">
        <is>
          <t>Risk &amp; control — Who is liable when it is wrong, and can we see why it answered — logs, evals?</t>
        </is>
      </c>
      <c r="C14" s="122" t="n">
        <v>0.1</v>
      </c>
      <c r="D14" s="123" t="n">
        <v>5</v>
      </c>
      <c r="E14" s="123" t="n">
        <v>2</v>
      </c>
      <c r="F14" s="123" t="n">
        <v>4</v>
      </c>
      <c r="G14" s="124" t="inlineStr">
        <is>
          <t>Moffatt v. Air Canada: liability stays with us whatever we choose. We must keep the decision receipt and the audit log, which orchestration allows and a pure buy does not guarantee.</t>
        </is>
      </c>
    </row>
    <row r="15" ht="15" customHeight="1" s="68">
      <c r="A15" s="118" t="n"/>
      <c r="B15" s="118" t="n"/>
      <c r="C15" s="118" t="n"/>
      <c r="D15" s="118" t="n"/>
      <c r="E15" s="118" t="n"/>
      <c r="F15" s="118" t="n"/>
      <c r="G15" s="118" t="n"/>
    </row>
    <row r="16" ht="15" customHeight="1" s="68">
      <c r="A16" s="118" t="n"/>
      <c r="B16" s="103" t="inlineStr">
        <is>
          <t>Weights must sum to 100 %</t>
        </is>
      </c>
      <c r="C16" s="125">
        <f>SUM(C5:C14)</f>
        <v/>
      </c>
      <c r="D16" s="118" t="n"/>
      <c r="E16" s="118" t="n"/>
      <c r="F16" s="118" t="n"/>
      <c r="G16" s="118" t="n"/>
    </row>
    <row r="17" ht="15" customHeight="1" s="68">
      <c r="A17" s="118" t="n"/>
      <c r="B17" s="126" t="inlineStr">
        <is>
          <t>Weighted score (1–5)</t>
        </is>
      </c>
      <c r="C17" s="118" t="n"/>
      <c r="D17" s="127">
        <f>IFERROR(IF(COUNT(D5:D14)=0,"",SUMPRODUCT($C$5:$C$14,D5:D14)/SUM($C$5:$C$14)),"")</f>
        <v/>
      </c>
      <c r="E17" s="127">
        <f>IFERROR(IF(COUNT(E5:E14)=0,"",SUMPRODUCT($C$5:$C$14,E5:E14)/SUM($C$5:$C$14)),"")</f>
        <v/>
      </c>
      <c r="F17" s="127">
        <f>IFERROR(IF(COUNT(F5:F14)=0,"",SUMPRODUCT($C$5:$C$14,F5:F14)/SUM($C$5:$C$14)),"")</f>
        <v/>
      </c>
      <c r="G17" s="118" t="n"/>
    </row>
    <row r="18" ht="15" customHeight="1" s="68">
      <c r="A18" s="118" t="n"/>
      <c r="B18" s="126" t="inlineStr">
        <is>
          <t>Highest weighted score</t>
        </is>
      </c>
      <c r="C18" s="118" t="n"/>
      <c r="D18" s="81">
        <f>IF(COUNT(D17:F17)=0,"— score the three options —",IF(ABS(C16-1)&gt;0.001,"— weights must sum to 100 % —",INDEX($D$4:$F$4,MATCH(MAX(D17:F17),D17:F17,0))))</f>
        <v/>
      </c>
      <c r="E18" s="118" t="n"/>
      <c r="F18" s="118" t="n"/>
      <c r="G18" s="103" t="inlineStr">
        <is>
          <t>The score informs the decision; the memo makes it. If two options are within 0.3, say which condition would decide.</t>
        </is>
      </c>
    </row>
    <row r="19" ht="15" customHeight="1" s="68">
      <c r="A19" s="118" t="n"/>
      <c r="B19" s="118" t="n"/>
      <c r="C19" s="118" t="n"/>
      <c r="D19" s="118" t="n"/>
      <c r="E19" s="118" t="n"/>
      <c r="F19" s="118" t="n"/>
      <c r="G19" s="118" t="n"/>
    </row>
    <row r="20" ht="15" customHeight="1" s="68">
      <c r="A20" s="118" t="n"/>
      <c r="B20" s="118" t="n"/>
      <c r="C20" s="118" t="n"/>
      <c r="D20" s="118" t="n"/>
      <c r="E20" s="118" t="n"/>
      <c r="F20" s="118" t="n"/>
      <c r="G20" s="118" t="n"/>
    </row>
    <row r="21" ht="15" customHeight="1" s="68">
      <c r="A21" s="81" t="inlineStr">
        <is>
          <t>BREAK-EVEN — buying per resolution vs running it yourself (base case, rough)</t>
        </is>
      </c>
      <c r="B21" s="118" t="n"/>
      <c r="C21" s="118" t="n"/>
      <c r="D21" s="118" t="n"/>
      <c r="E21" s="118" t="n"/>
      <c r="F21" s="118" t="n"/>
      <c r="G21" s="118" t="n"/>
    </row>
    <row r="22" ht="15" customHeight="1" s="68">
      <c r="A22" s="118" t="n"/>
      <c r="B22" s="128" t="inlineStr">
        <is>
          <t>Vendor price per resolution</t>
        </is>
      </c>
      <c r="C22" s="118" t="n"/>
      <c r="D22" s="129" t="n">
        <v>0.92</v>
      </c>
      <c r="E22" s="130" t="inlineStr">
        <is>
          <t>€ / resolution</t>
        </is>
      </c>
      <c r="F22" s="118" t="n"/>
      <c r="G22" s="103" t="inlineStr">
        <is>
          <t>Intercom Fin public list price, from $0.99 per resolution, checked 23 October 2026, converted at ~0.93 €/USD. A negotiated rate at our volume would be an input to revisit.</t>
        </is>
      </c>
    </row>
    <row r="23" ht="15" customHeight="1" s="68">
      <c r="A23" s="118" t="n"/>
      <c r="B23" s="128" t="inlineStr">
        <is>
          <t>Tickets deflected in year 1 (base)</t>
        </is>
      </c>
      <c r="C23" s="118" t="n"/>
      <c r="D23" s="131">
        <f>Upside!D38</f>
        <v/>
      </c>
      <c r="E23" s="130" t="inlineStr">
        <is>
          <t>tickets / yr</t>
        </is>
      </c>
      <c r="F23" s="118" t="n"/>
      <c r="G23" s="103" t="inlineStr">
        <is>
          <t>from Upside</t>
        </is>
      </c>
    </row>
    <row r="24" ht="15" customHeight="1" s="68">
      <c r="A24" s="118" t="n"/>
      <c r="B24" s="126" t="inlineStr">
        <is>
          <t>Annual vendor fees</t>
        </is>
      </c>
      <c r="C24" s="118" t="n"/>
      <c r="D24" s="132">
        <f>IFERROR(D22*D23,0)</f>
        <v/>
      </c>
      <c r="E24" s="130" t="inlineStr">
        <is>
          <t>€ / yr</t>
        </is>
      </c>
      <c r="F24" s="118" t="n"/>
      <c r="G24" s="103" t="inlineStr">
        <is>
          <t>price × resolutions</t>
        </is>
      </c>
    </row>
    <row r="25" ht="15" customHeight="1" s="68">
      <c r="A25" s="118" t="n"/>
      <c r="B25" s="128" t="inlineStr">
        <is>
          <t>Your own AI handling cost (tokens, retries)</t>
        </is>
      </c>
      <c r="C25" s="118" t="n"/>
      <c r="D25" s="131">
        <f>Upside!D41</f>
        <v/>
      </c>
      <c r="E25" s="130" t="inlineStr">
        <is>
          <t>€ / yr</t>
        </is>
      </c>
      <c r="F25" s="118" t="n"/>
      <c r="G25" s="103" t="inlineStr">
        <is>
          <t>from Upside</t>
        </is>
      </c>
    </row>
    <row r="26" ht="15" customHeight="1" s="68">
      <c r="A26" s="118" t="n"/>
      <c r="B26" s="128" t="inlineStr">
        <is>
          <t>Integration (amortised) + evaluation + re-evaluation</t>
        </is>
      </c>
      <c r="C26" s="118" t="n"/>
      <c r="D26" s="131">
        <f>Decision!D9+Decision!D10+Decision!D13</f>
        <v/>
      </c>
      <c r="E26" s="130" t="inlineStr">
        <is>
          <t>€ / yr</t>
        </is>
      </c>
      <c r="F26" s="118" t="n"/>
      <c r="G26" s="103" t="inlineStr">
        <is>
          <t>from Decision — the build-specific fixed lines</t>
        </is>
      </c>
    </row>
    <row r="27" ht="15" customHeight="1" s="68">
      <c r="A27" s="118" t="n"/>
      <c r="B27" s="126" t="inlineStr">
        <is>
          <t>Running it yourself — comparable cost</t>
        </is>
      </c>
      <c r="C27" s="118" t="n"/>
      <c r="D27" s="132">
        <f>D25+D26</f>
        <v/>
      </c>
      <c r="E27" s="130" t="inlineStr">
        <is>
          <t>€ / yr</t>
        </is>
      </c>
      <c r="F27" s="118" t="n"/>
      <c r="G27" s="103" t="inlineStr">
        <is>
          <t>supervision and monitoring stay in both options, so they are left out</t>
        </is>
      </c>
    </row>
    <row r="28" ht="15" customHeight="1" s="68">
      <c r="A28" s="118" t="n"/>
      <c r="B28" s="126" t="inlineStr">
        <is>
          <t>Buying is cheaper by</t>
        </is>
      </c>
      <c r="C28" s="118" t="n"/>
      <c r="D28" s="132">
        <f>D27-D24</f>
        <v/>
      </c>
      <c r="E28" s="130" t="inlineStr">
        <is>
          <t>€ / yr</t>
        </is>
      </c>
      <c r="F28" s="118" t="n"/>
      <c r="G28" s="103" t="inlineStr">
        <is>
          <t>negative = running it yourself is cheaper at this volume</t>
        </is>
      </c>
    </row>
    <row r="29" ht="15" customHeight="1" s="68">
      <c r="A29" s="118" t="n"/>
      <c r="B29" s="118" t="n"/>
      <c r="C29" s="118" t="n"/>
      <c r="D29" s="118" t="n"/>
      <c r="E29" s="118" t="n"/>
      <c r="F29" s="118" t="n"/>
      <c r="G29" s="118" t="n"/>
    </row>
  </sheetData>
  <mergeCells count="1">
    <mergeCell ref="A2:G2"/>
  </mergeCells>
  <dataValidations count="1">
    <dataValidation sqref="D5:F14" showDropDown="0" showInputMessage="0" showErrorMessage="0" allowBlank="1" errorTitle="1 to 5" error="Score from 1 to 5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2026-09-30T14:11:07Z</dcterms:created>
  <dcterms:modified xmlns:dcterms="http://purl.org/dc/terms/" xmlns:xsi="http://www.w3.org/2001/XMLSchema-instance" xsi:type="dcterms:W3CDTF">2026-10-23T09:29:01Z</dcterms:modified>
  <cp:revision>0</cp:revision>
</cp:coreProperties>
</file>